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icio" sheetId="1" r:id="rId1"/>
    <sheet name="Entradas" sheetId="2" r:id="rId2"/>
    <sheet name="Salidas insumos" sheetId="3" r:id="rId3"/>
    <sheet name="Producción" sheetId="4" r:id="rId4"/>
    <sheet name="Salidas productos" sheetId="5" r:id="rId5"/>
    <sheet name="Insumos" sheetId="6" r:id="rId6"/>
    <sheet name="Productos" sheetId="7" r:id="rId7"/>
    <sheet name="Catálogos" sheetId="8" r:id="rId8"/>
    <sheet name="Recetas" sheetId="9" r:id="rId9"/>
    <sheet name="Calculadora" sheetId="10" r:id="rId10"/>
  </sheets>
  <definedNames>
    <definedName name="calcLotes">Calculadora!$C$5</definedName>
    <definedName name="calcProducto">Calculadora!$C$4</definedName>
    <definedName name="entCantidad">Entradas!$D$7</definedName>
    <definedName name="entFecha">Entradas!$D$4</definedName>
    <definedName name="entInsumo">Entradas!$D$6</definedName>
    <definedName name="entMensaje">Entradas!$D$10</definedName>
    <definedName name="entNumDoc">Entradas!$D$5</definedName>
    <definedName name="entObs">Entradas!$D$8</definedName>
    <definedName name="entPrecioTotal">Entradas!$G$7</definedName>
    <definedName name="entPresentacion">Entradas!$G$6</definedName>
    <definedName name="entProveedor">Entradas!$G$5</definedName>
    <definedName name="entTipoDoc">Entradas!$G$4</definedName>
    <definedName name="lstDestinos">tblDestinos[Destino]</definedName>
    <definedName name="lstEncargados">tblEncargados[Encargado]</definedName>
    <definedName name="lstInsumos">tblInsumos[Insumo]</definedName>
    <definedName name="lstProductos">tblProductos[Producto]</definedName>
    <definedName name="lstUnidades">tblUnidades[Unidad]</definedName>
    <definedName name="proCantPresentacion">'Producción'!$G$6</definedName>
    <definedName name="proCantTeorica">'Producción'!$G$7</definedName>
    <definedName name="proDefectuoso">'Producción'!$G$8</definedName>
    <definedName name="proFecha">'Producción'!$D$4</definedName>
    <definedName name="proMensaje">'Producción'!$D$11</definedName>
    <definedName name="proObs">'Producción'!$D$9</definedName>
    <definedName name="proPresentacion">'Producción'!$D$6</definedName>
    <definedName name="proProducido">'Producción'!$D$8</definedName>
    <definedName name="proProducto">'Producción'!$D$5</definedName>
    <definedName name="proTurno">'Producción'!$G$4</definedName>
    <definedName name="proUnidadTeorica">'Producción'!$D$7</definedName>
    <definedName name="rngDesde">Inicio!$E$6</definedName>
    <definedName name="rngFecha">Inicio!$C$6</definedName>
    <definedName name="rngHasta">Inicio!$E$7</definedName>
    <definedName name="rngPeriodo">Inicio!$C$7</definedName>
    <definedName name="salCantidad">'Salidas insumos'!$D$7</definedName>
    <definedName name="salFecha">'Salidas insumos'!$D$4</definedName>
    <definedName name="salInsumo">'Salidas insumos'!$D$6</definedName>
    <definedName name="salMensaje">'Salidas insumos'!$D$10</definedName>
    <definedName name="salMotivo">'Salidas insumos'!$G$4</definedName>
    <definedName name="salObs">'Salidas insumos'!$D$8</definedName>
    <definedName name="salPresentacion">'Salidas insumos'!$G$6</definedName>
    <definedName name="salTicket">'Salidas insumos'!$D$5</definedName>
    <definedName name="sprCantidad">'Salidas productos'!$D$7</definedName>
    <definedName name="sprDestino">'Salidas productos'!$G$4</definedName>
    <definedName name="sprDocumento">'Salidas productos'!$G$6</definedName>
    <definedName name="sprEncargado">'Salidas productos'!$G$5</definedName>
    <definedName name="sprFecha">'Salidas productos'!$D$4</definedName>
    <definedName name="sprMensaje">'Salidas productos'!$D$10</definedName>
    <definedName name="sprObs">'Salidas productos'!$D$8</definedName>
    <definedName name="sprPresentacion">'Salidas productos'!$D$6</definedName>
    <definedName name="sprProducto">'Salidas productos'!$D$5</definedName>
  </definedNames>
  <calcPr calcId="124519" fullCalcOnLoad="1"/>
</workbook>
</file>

<file path=xl/sharedStrings.xml><?xml version="1.0" encoding="utf-8"?>
<sst xmlns="http://schemas.openxmlformats.org/spreadsheetml/2006/main" count="302" uniqueCount="150">
  <si>
    <t>Catálogos</t>
  </si>
  <si>
    <t>Equivalencias de presentaciones y listas de opciones</t>
  </si>
  <si>
    <t>Equivalencias: 1 [Presentación] de un artículo = [Factor] en su unidad base. Ej.: 1 saco de Harina de trigo = 50000 gramo. Las entradas y salidas usan esto para convertir todo a la unidad base del inventario.</t>
  </si>
  <si>
    <t>Artículo</t>
  </si>
  <si>
    <t>Presentación</t>
  </si>
  <si>
    <t>Factor</t>
  </si>
  <si>
    <t>Unidad base</t>
  </si>
  <si>
    <t>Detalle</t>
  </si>
  <si>
    <t>Harina de trigo</t>
  </si>
  <si>
    <t>saco</t>
  </si>
  <si>
    <t>saco de 50 kg</t>
  </si>
  <si>
    <t>kilogramo</t>
  </si>
  <si>
    <t>Azúcar</t>
  </si>
  <si>
    <t>Levadura</t>
  </si>
  <si>
    <t>paquete</t>
  </si>
  <si>
    <t>paquete de 500 g</t>
  </si>
  <si>
    <t>Mantequilla</t>
  </si>
  <si>
    <t>Huevos</t>
  </si>
  <si>
    <t>jaba</t>
  </si>
  <si>
    <t>jaba de 30</t>
  </si>
  <si>
    <t>Leche</t>
  </si>
  <si>
    <t>litro</t>
  </si>
  <si>
    <t>Pan francés</t>
  </si>
  <si>
    <t>bolsa</t>
  </si>
  <si>
    <t>bolsa de 10</t>
  </si>
  <si>
    <t>Unidad</t>
  </si>
  <si>
    <t>unidad</t>
  </si>
  <si>
    <t>porcion</t>
  </si>
  <si>
    <t>kilo</t>
  </si>
  <si>
    <t>gramo</t>
  </si>
  <si>
    <t>libra</t>
  </si>
  <si>
    <t>mililitro</t>
  </si>
  <si>
    <t>docena</t>
  </si>
  <si>
    <t>caja</t>
  </si>
  <si>
    <t>bandeja</t>
  </si>
  <si>
    <t>plancha</t>
  </si>
  <si>
    <t>lata</t>
  </si>
  <si>
    <t>tarro</t>
  </si>
  <si>
    <t>porongo</t>
  </si>
  <si>
    <t>balde</t>
  </si>
  <si>
    <t>casillero</t>
  </si>
  <si>
    <t>pastel entero</t>
  </si>
  <si>
    <t>quintal</t>
  </si>
  <si>
    <t>Destino</t>
  </si>
  <si>
    <t>Tienda principal</t>
  </si>
  <si>
    <t>Delivery</t>
  </si>
  <si>
    <t>Pedido especial</t>
  </si>
  <si>
    <t>Encargado</t>
  </si>
  <si>
    <t>Encargado 1</t>
  </si>
  <si>
    <t>Inventario de insumos</t>
  </si>
  <si>
    <t>Esta lista es también el catálogo de insumos: agrega aquí los nuevos.</t>
  </si>
  <si>
    <t>Cantidades en la UNIDAD BASE de cada insumo. Escribe el stock inicial, los ajustes (±) y el mínimo; las entradas, salidas y el stock se calculan solos.</t>
  </si>
  <si>
    <t>Insumo</t>
  </si>
  <si>
    <t>Mínimo</t>
  </si>
  <si>
    <t>Stock inicial</t>
  </si>
  <si>
    <t>Ajuste</t>
  </si>
  <si>
    <t>Entradas</t>
  </si>
  <si>
    <t>Salidas</t>
  </si>
  <si>
    <t>Stock</t>
  </si>
  <si>
    <t>Estado</t>
  </si>
  <si>
    <t>Ent. periodo</t>
  </si>
  <si>
    <t>Sal. periodo</t>
  </si>
  <si>
    <t>Mov</t>
  </si>
  <si>
    <t>NumMov</t>
  </si>
  <si>
    <t>Crit</t>
  </si>
  <si>
    <t>NumCrit</t>
  </si>
  <si>
    <t>Sal</t>
  </si>
  <si>
    <t>Inventario de productos</t>
  </si>
  <si>
    <t>Esta lista es también el catálogo de panes y pasteles: agrega aquí los nuevos.</t>
  </si>
  <si>
    <t>Tipo: Pan o Pastel. "Rinde por lote" lo usa la Calculadora. El stock se calcula con la producción neta menos las salidas.</t>
  </si>
  <si>
    <t>Producto</t>
  </si>
  <si>
    <t>Tipo</t>
  </si>
  <si>
    <t>Rinde por lote</t>
  </si>
  <si>
    <t>Producido</t>
  </si>
  <si>
    <t>Prod. periodo</t>
  </si>
  <si>
    <t>ProdF</t>
  </si>
  <si>
    <t>NumProd</t>
  </si>
  <si>
    <t>SalF</t>
  </si>
  <si>
    <t>NumSal</t>
  </si>
  <si>
    <t>Pan</t>
  </si>
  <si>
    <t>Pan de molde</t>
  </si>
  <si>
    <t>Torta de chocolate</t>
  </si>
  <si>
    <t>Pastel</t>
  </si>
  <si>
    <t>Cupcake</t>
  </si>
  <si>
    <t>Entradas de insumos</t>
  </si>
  <si>
    <t>Compras y entradas de materia prima</t>
  </si>
  <si>
    <t>Fecha</t>
  </si>
  <si>
    <t>Tipo doc.</t>
  </si>
  <si>
    <t>N° documento</t>
  </si>
  <si>
    <t>Proveedor</t>
  </si>
  <si>
    <t>Cantidad</t>
  </si>
  <si>
    <t>Precio total</t>
  </si>
  <si>
    <t>Observación</t>
  </si>
  <si>
    <t>Equivale a</t>
  </si>
  <si>
    <t>Tip: para una factura con varios insumos, pulsa "Guardar línea" por cada insumo; la fecha, el documento y el proveedor se mantienen.</t>
  </si>
  <si>
    <t>En tablet o celular los botones no funcionan: escribe directo en la tabla de abajo (las columnas grises se calculan solas). En la PC usa el formulario y el botón Guardar.</t>
  </si>
  <si>
    <t>ID</t>
  </si>
  <si>
    <t>N° doc.</t>
  </si>
  <si>
    <t>Cant. base</t>
  </si>
  <si>
    <t>Precio unit.</t>
  </si>
  <si>
    <t>Total doc.</t>
  </si>
  <si>
    <t>Obs.</t>
  </si>
  <si>
    <t>Factor registrado</t>
  </si>
  <si>
    <t>Salidas de insumos</t>
  </si>
  <si>
    <t>Insumos usados en producción, mermas y devoluciones</t>
  </si>
  <si>
    <t>Motivo</t>
  </si>
  <si>
    <t>Ticket</t>
  </si>
  <si>
    <t>Producción</t>
  </si>
  <si>
    <t>Panes y pasteles producidos por turno</t>
  </si>
  <si>
    <t>Turno</t>
  </si>
  <si>
    <t>Cant. presentación</t>
  </si>
  <si>
    <t>Unidad teórica</t>
  </si>
  <si>
    <t>Cant. teórica</t>
  </si>
  <si>
    <t>Producido (unid.)</t>
  </si>
  <si>
    <t>Defectuoso</t>
  </si>
  <si>
    <t>Resumen</t>
  </si>
  <si>
    <t>Ej. pan: Presentación "lata", Cant. presentación 20, Unidad teórica "quintal", Cant. teórica 1, Producido 1400.</t>
  </si>
  <si>
    <t>Neto</t>
  </si>
  <si>
    <t>Salidas de productos</t>
  </si>
  <si>
    <t>Panes y pasteles que salen a tienda, delivery o pedidos</t>
  </si>
  <si>
    <t>Documento</t>
  </si>
  <si>
    <t>Categoría</t>
  </si>
  <si>
    <t>Recetas</t>
  </si>
  <si>
    <t>Insumos por lote de cada producto (en la unidad base del insumo)</t>
  </si>
  <si>
    <t>Una fila por insumo. "Rinde por lote" se define en la hoja Productos. La Calculadora usa esta tabla.</t>
  </si>
  <si>
    <t>Cantidad por lote</t>
  </si>
  <si>
    <t>Sel</t>
  </si>
  <si>
    <t>Orden</t>
  </si>
  <si>
    <t>Calculadora de producción</t>
  </si>
  <si>
    <t>¿Cuánto insumo necesito y me alcanza el stock?</t>
  </si>
  <si>
    <t>Lotes a producir</t>
  </si>
  <si>
    <t>Unidades que salen</t>
  </si>
  <si>
    <t>Por lote</t>
  </si>
  <si>
    <t>Necesario</t>
  </si>
  <si>
    <t>Stock actual</t>
  </si>
  <si>
    <t>¿Alcanza?</t>
  </si>
  <si>
    <t>PanControl</t>
  </si>
  <si>
    <t>Sistema de Producción — versión Excel (prueba)</t>
  </si>
  <si>
    <t>Periodo</t>
  </si>
  <si>
    <t>Día</t>
  </si>
  <si>
    <t>Desde</t>
  </si>
  <si>
    <t>Hasta</t>
  </si>
  <si>
    <t>En la PC usa los botones y los formularios. En tablet/celular escribe directo en las tablas (allí las macros no corren). Para probar con tus datos: en la app web pulsa "Descargar backup" y aquí "Importar respaldo de la app". Guarda seguido (Ctrl+G).</t>
  </si>
  <si>
    <t>Panes netos</t>
  </si>
  <si>
    <t>Pasteles netos</t>
  </si>
  <si>
    <t>Bajo mínimo</t>
  </si>
  <si>
    <t>Insumos del periodo</t>
  </si>
  <si>
    <t>Producción del periodo</t>
  </si>
  <si>
    <t>Salidas de productos del periodo</t>
  </si>
  <si>
    <t>🔴 Insumos bajo mínimo</t>
  </si>
</sst>
</file>

<file path=xl/styles.xml><?xml version="1.0" encoding="utf-8"?>
<styleSheet xmlns="http://schemas.openxmlformats.org/spreadsheetml/2006/main">
  <numFmts count="3">
    <numFmt numFmtId="164" formatCode="dd/mm/yyyy"/>
    <numFmt numFmtId="165" formatCode="@"/>
    <numFmt numFmtId="166" formatCode="&quot;S/ &quot;#,##0.00"/>
  </numFmts>
  <fonts count="15">
    <font>
      <sz val="11"/>
      <color theme="1"/>
      <name val="Calibri"/>
      <family val="2"/>
      <scheme val="minor"/>
    </font>
    <font>
      <b/>
      <sz val="20"/>
      <color rgb="FF3D1A06"/>
      <name val="Calibri"/>
      <family val="2"/>
      <scheme val="minor"/>
    </font>
    <font>
      <i/>
      <sz val="11"/>
      <color rgb="FF7A6E68"/>
      <name val="Calibri"/>
      <family val="2"/>
      <scheme val="minor"/>
    </font>
    <font>
      <b/>
      <sz val="11"/>
      <color rgb="FF7A3B12"/>
      <name val="Calibri"/>
      <family val="2"/>
      <scheme val="minor"/>
    </font>
    <font>
      <sz val="11"/>
      <color rgb="FF7A3B12"/>
      <name val="Calibri"/>
      <family val="2"/>
      <scheme val="minor"/>
    </font>
    <font>
      <i/>
      <sz val="10"/>
      <color rgb="FF7A6E68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22"/>
      <color rgb="FF3D1A06"/>
      <name val="Calibri"/>
      <family val="2"/>
      <scheme val="minor"/>
    </font>
    <font>
      <sz val="10"/>
      <color rgb="FF7A6E68"/>
      <name val="Calibri"/>
      <family val="2"/>
      <scheme val="minor"/>
    </font>
    <font>
      <b/>
      <sz val="13"/>
      <color rgb="FF3D1A0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9"/>
      <color rgb="FF7A6E68"/>
      <name val="Calibri"/>
      <family val="2"/>
      <scheme val="minor"/>
    </font>
    <font>
      <b/>
      <sz val="11"/>
      <color rgb="FF9B2335"/>
      <name val="Calibri"/>
      <family val="2"/>
      <scheme val="minor"/>
    </font>
    <font>
      <i/>
      <sz val="11"/>
      <color rgb="FF2D6A4F"/>
      <name val="Calibri"/>
      <family val="2"/>
      <scheme val="minor"/>
    </font>
    <font>
      <b/>
      <sz val="11"/>
      <color rgb="FF2D6A4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E4D4"/>
        <bgColor indexed="64"/>
      </patternFill>
    </fill>
    <fill>
      <patternFill patternType="solid">
        <fgColor rgb="FF3D1A06"/>
        <bgColor indexed="64"/>
      </patternFill>
    </fill>
    <fill>
      <patternFill patternType="solid">
        <fgColor rgb="FFC8511A"/>
        <bgColor indexed="64"/>
      </patternFill>
    </fill>
  </fills>
  <borders count="4">
    <border>
      <left/>
      <right/>
      <top/>
      <bottom/>
      <diagonal/>
    </border>
    <border>
      <left style="thin">
        <color rgb="FFC8511A"/>
      </left>
      <right style="thin">
        <color rgb="FFC8511A"/>
      </right>
      <top style="thin">
        <color rgb="FFC8511A"/>
      </top>
      <bottom style="thin">
        <color rgb="FFC8511A"/>
      </bottom>
      <diagonal/>
    </border>
    <border>
      <left/>
      <right/>
      <top/>
      <bottom style="medium">
        <color rgb="FFC8511A"/>
      </bottom>
      <diagonal/>
    </border>
    <border>
      <left style="thin">
        <color rgb="FFE8D8C8"/>
      </left>
      <right style="thin">
        <color rgb="FFE8D8C8"/>
      </right>
      <top style="thin">
        <color rgb="FFE8D8C8"/>
      </top>
      <bottom style="thin">
        <color rgb="FFE8D8C8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horizontal="right" vertical="center"/>
    </xf>
    <xf numFmtId="164" fontId="0" fillId="3" borderId="1" xfId="0" applyNumberFormat="1" applyFill="1" applyBorder="1" applyAlignment="1">
      <alignment horizontal="left" vertical="center"/>
    </xf>
    <xf numFmtId="164" fontId="4" fillId="4" borderId="0" xfId="0" applyNumberFormat="1" applyFont="1" applyFill="1" applyAlignment="1">
      <alignment horizontal="left" vertical="center"/>
    </xf>
    <xf numFmtId="0" fontId="5" fillId="0" borderId="0" xfId="0" applyFont="1" applyAlignment="1">
      <alignment vertical="top" wrapText="1"/>
    </xf>
    <xf numFmtId="165" fontId="0" fillId="3" borderId="1" xfId="0" applyNumberFormat="1" applyFill="1" applyBorder="1" applyAlignment="1">
      <alignment vertical="center"/>
    </xf>
    <xf numFmtId="0" fontId="6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0" fillId="3" borderId="1" xfId="0" applyFill="1" applyBorder="1" applyAlignment="1">
      <alignment horizontal="left" vertical="center"/>
    </xf>
    <xf numFmtId="166" fontId="0" fillId="3" borderId="1" xfId="0" applyNumberFormat="1" applyFill="1" applyBorder="1" applyAlignment="1">
      <alignment horizontal="left" vertical="center"/>
    </xf>
    <xf numFmtId="0" fontId="13" fillId="4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14" fillId="2" borderId="0" xfId="0" applyFont="1" applyFill="1" applyAlignment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left" vertical="center"/>
    </xf>
    <xf numFmtId="165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0" fontId="4" fillId="4" borderId="0" xfId="0" applyFont="1" applyFill="1" applyAlignment="1">
      <alignment horizontal="left" vertical="center"/>
    </xf>
  </cellXfs>
  <cellStyles count="1">
    <cellStyle name="Normal" xfId="0" builtinId="0"/>
  </cellStyles>
  <dxfs count="6">
    <dxf>
      <numFmt numFmtId="165" formatCode="@"/>
    </dxf>
    <dxf/>
    <dxf>
      <numFmt numFmtId="164" formatCode="dd/mm/yyyy"/>
    </dxf>
    <dxf>
      <numFmt numFmtId="166" formatCode="&quot;S/ &quot;#,##0.00"/>
    </dxf>
    <dxf>
      <font>
        <b/>
        <color rgb="FF9B2335"/>
      </font>
    </dxf>
    <dxf>
      <font>
        <b/>
        <color rgb="FF2D6A4F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0</xdr:row>
      <xdr:rowOff>28575</xdr:rowOff>
    </xdr:from>
    <xdr:to>
      <xdr:col>1</xdr:col>
      <xdr:colOff>518160</xdr:colOff>
      <xdr:row>1</xdr:row>
      <xdr:rowOff>3810</xdr:rowOff>
    </xdr:to>
    <xdr:pic>
      <xdr:nvPicPr>
        <xdr:cNvPr id="2" name="Picture 1" descr="logo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28575"/>
          <a:ext cx="480060" cy="48006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Entradas" displayName="tblEntradas" ref="B15:Q16" totalsRowShown="0">
  <autoFilter ref="B15:Q16"/>
  <tableColumns count="16">
    <tableColumn id="1" name="ID" dataDxfId="1"/>
    <tableColumn id="2" name="Fecha" dataDxfId="2"/>
    <tableColumn id="3" name="Tipo doc." dataDxfId="0"/>
    <tableColumn id="4" name="N° doc." dataDxfId="0"/>
    <tableColumn id="5" name="Proveedor" dataDxfId="0"/>
    <tableColumn id="6" name="Insumo" dataDxfId="0"/>
    <tableColumn id="7" name="Presentación" dataDxfId="0"/>
    <tableColumn id="8" name="Cantidad" dataDxfId="1"/>
    <tableColumn id="9" name="Factor" dataDxfId="1">
      <calculatedColumnFormula>IF(tblEntradas[[#This Row],[Factor registrado]]&gt;0,tblEntradas[[#This Row],[Factor registrado]],IF(SUMIFS(tblEquivalencias[Factor],tblEquivalencias[Artículo],tblEntradas[[#This Row],[Insumo]],tblEquivalencias[Presentación],tblEntradas[[#This Row],[Presentación]])&gt;0,SUMIFS(tblEquivalencias[Factor],tblEquivalencias[Artículo],tblEntradas[[#This Row],[Insumo]],tblEquivalencias[Presentación],tblEntradas[[#This Row],[Presentación]]),1))</calculatedColumnFormula>
    </tableColumn>
    <tableColumn id="10" name="Cant. base" dataDxfId="1">
      <calculatedColumnFormula>tblEntradas[[#This Row],[Cantidad]]*tblEntradas[[#This Row],[Factor]]</calculatedColumnFormula>
    </tableColumn>
    <tableColumn id="11" name="Unidad base">
      <calculatedColumnFormula>IFERROR(INDEX(tblInsumos[Unidad base],MATCH(tblEntradas[[#This Row],[Insumo]],tblInsumos[Insumo],0)),"")</calculatedColumnFormula>
    </tableColumn>
    <tableColumn id="12" name="Precio unit." dataDxfId="3">
      <calculatedColumnFormula>IFERROR(tblEntradas[[#This Row],[Precio total]]/tblEntradas[[#This Row],[Cantidad]],0)</calculatedColumnFormula>
    </tableColumn>
    <tableColumn id="13" name="Precio total" dataDxfId="3"/>
    <tableColumn id="14" name="Total doc." dataDxfId="3"/>
    <tableColumn id="15" name="Obs." dataDxfId="0"/>
    <tableColumn id="16" name="Factor registrado" dataDxfId="1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SalidasIns" displayName="tblSalidasIns" ref="B15:M16" totalsRowShown="0">
  <autoFilter ref="B15:M16"/>
  <tableColumns count="12">
    <tableColumn id="1" name="ID" dataDxfId="1"/>
    <tableColumn id="2" name="Fecha" dataDxfId="2"/>
    <tableColumn id="3" name="Motivo" dataDxfId="0"/>
    <tableColumn id="4" name="Ticket" dataDxfId="0"/>
    <tableColumn id="5" name="Insumo" dataDxfId="0"/>
    <tableColumn id="6" name="Presentación" dataDxfId="0"/>
    <tableColumn id="7" name="Cantidad" dataDxfId="1"/>
    <tableColumn id="8" name="Factor" dataDxfId="1">
      <calculatedColumnFormula>IF(tblSalidasIns[[#This Row],[Factor registrado]]&gt;0,tblSalidasIns[[#This Row],[Factor registrado]],IF(SUMIFS(tblEquivalencias[Factor],tblEquivalencias[Artículo],tblSalidasIns[[#This Row],[Insumo]],tblEquivalencias[Presentación],tblSalidasIns[[#This Row],[Presentación]])&gt;0,SUMIFS(tblEquivalencias[Factor],tblEquivalencias[Artículo],tblSalidasIns[[#This Row],[Insumo]],tblEquivalencias[Presentación],tblSalidasIns[[#This Row],[Presentación]]),1))</calculatedColumnFormula>
    </tableColumn>
    <tableColumn id="9" name="Cant. base" dataDxfId="1">
      <calculatedColumnFormula>tblSalidasIns[[#This Row],[Cantidad]]*tblSalidasIns[[#This Row],[Factor]]</calculatedColumnFormula>
    </tableColumn>
    <tableColumn id="10" name="Unidad base">
      <calculatedColumnFormula>IFERROR(INDEX(tblInsumos[Unidad base],MATCH(tblSalidasIns[[#This Row],[Insumo]],tblInsumos[Insumo],0)),"")</calculatedColumnFormula>
    </tableColumn>
    <tableColumn id="11" name="Obs." dataDxfId="0"/>
    <tableColumn id="12" name="Factor registrado" dataDxfId="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blProduccion" displayName="tblProduccion" ref="B16:N17" totalsRowShown="0">
  <autoFilter ref="B16:N17"/>
  <tableColumns count="13">
    <tableColumn id="1" name="ID" dataDxfId="1"/>
    <tableColumn id="2" name="Fecha" dataDxfId="2"/>
    <tableColumn id="3" name="Turno" dataDxfId="0"/>
    <tableColumn id="4" name="Tipo" dataDxfId="0"/>
    <tableColumn id="5" name="Producto" dataDxfId="0"/>
    <tableColumn id="6" name="Presentación" dataDxfId="0"/>
    <tableColumn id="7" name="Cant. presentación" dataDxfId="1"/>
    <tableColumn id="8" name="Unidad teórica" dataDxfId="0"/>
    <tableColumn id="9" name="Cant. teórica" dataDxfId="1"/>
    <tableColumn id="10" name="Producido" dataDxfId="1"/>
    <tableColumn id="11" name="Defectuoso" dataDxfId="1"/>
    <tableColumn id="12" name="Neto" dataDxfId="1">
      <calculatedColumnFormula>N(tblProduccion[[#This Row],[Producido]])-N(tblProduccion[[#This Row],[Defectuoso]])</calculatedColumnFormula>
    </tableColumn>
    <tableColumn id="13" name="Obs." dataDxfId="0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4" name="tblSalidasProd" displayName="tblSalidasProd" ref="B15:O16" totalsRowShown="0">
  <autoFilter ref="B15:O16"/>
  <tableColumns count="14">
    <tableColumn id="1" name="ID" dataDxfId="1"/>
    <tableColumn id="2" name="Fecha" dataDxfId="2"/>
    <tableColumn id="3" name="Categoría" dataDxfId="0"/>
    <tableColumn id="4" name="Producto" dataDxfId="0"/>
    <tableColumn id="5" name="Presentación" dataDxfId="0"/>
    <tableColumn id="6" name="Cantidad" dataDxfId="1"/>
    <tableColumn id="7" name="Factor" dataDxfId="1">
      <calculatedColumnFormula>IF(tblSalidasProd[[#This Row],[Factor registrado]]&gt;0,tblSalidasProd[[#This Row],[Factor registrado]],IF(SUMIFS(tblEquivalencias[Factor],tblEquivalencias[Artículo],tblSalidasProd[[#This Row],[Producto]],tblEquivalencias[Presentación],tblSalidasProd[[#This Row],[Presentación]])&gt;0,SUMIFS(tblEquivalencias[Factor],tblEquivalencias[Artículo],tblSalidasProd[[#This Row],[Producto]],tblEquivalencias[Presentación],tblSalidasProd[[#This Row],[Presentación]]),1))</calculatedColumnFormula>
    </tableColumn>
    <tableColumn id="8" name="Cant. base" dataDxfId="1">
      <calculatedColumnFormula>tblSalidasProd[[#This Row],[Cantidad]]*tblSalidasProd[[#This Row],[Factor]]</calculatedColumnFormula>
    </tableColumn>
    <tableColumn id="9" name="Unidad base">
      <calculatedColumnFormula>IFERROR(INDEX(tblProductos[Unidad base],MATCH(tblSalidasProd[[#This Row],[Producto]],tblProductos[Producto],0)),"")</calculatedColumnFormula>
    </tableColumn>
    <tableColumn id="10" name="Destino" dataDxfId="0"/>
    <tableColumn id="11" name="Encargado" dataDxfId="0"/>
    <tableColumn id="12" name="Documento" dataDxfId="0"/>
    <tableColumn id="13" name="Obs." dataDxfId="0"/>
    <tableColumn id="14" name="Factor registrado" dataDxfId="1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5" name="tblInsumos" displayName="tblInsumos" ref="B5:P12" totalsRowShown="0">
  <autoFilter ref="B5:P12"/>
  <tableColumns count="15">
    <tableColumn id="1" name="Insumo" dataDxfId="0"/>
    <tableColumn id="2" name="Unidad base" dataDxfId="0"/>
    <tableColumn id="3" name="Mínimo" dataDxfId="1"/>
    <tableColumn id="4" name="Stock inicial" dataDxfId="1"/>
    <tableColumn id="5" name="Ajuste" dataDxfId="1"/>
    <tableColumn id="6" name="Entradas" dataDxfId="1">
      <calculatedColumnFormula>SUMIFS(tblEntradas[Cant. base],tblEntradas[Insumo],tblInsumos[[#This Row],[Insumo]])</calculatedColumnFormula>
    </tableColumn>
    <tableColumn id="7" name="Salidas" dataDxfId="1">
      <calculatedColumnFormula>SUMIFS(tblSalidasIns[Cant. base],tblSalidasIns[Insumo],tblInsumos[[#This Row],[Insumo]])</calculatedColumnFormula>
    </tableColumn>
    <tableColumn id="8" name="Stock" dataDxfId="1">
      <calculatedColumnFormula>tblInsumos[[#This Row],[Stock inicial]]+tblInsumos[[#This Row],[Entradas]]-tblInsumos[[#This Row],[Salidas]]+tblInsumos[[#This Row],[Ajuste]]</calculatedColumnFormula>
    </tableColumn>
    <tableColumn id="9" name="Estado">
      <calculatedColumnFormula>IF(tblInsumos[[#This Row],[Insumo]]="","",IF(AND(tblInsumos[[#This Row],[Mínimo]]&gt;0,tblInsumos[[#This Row],[Stock]]&lt;=tblInsumos[[#This Row],[Mínimo]]),"🔴 Bajo mínimo",IF(AND(tblInsumos[[#This Row],[Mínimo]]&gt;0,tblInsumos[[#This Row],[Stock]]&lt;=tblInsumos[[#This Row],[Mínimo]]*1.5),"🟡 Por reponer","🟢 OK")))</calculatedColumnFormula>
    </tableColumn>
    <tableColumn id="10" name="Ent. periodo" dataDxfId="1">
      <calculatedColumnFormula>SUMIFS(tblEntradas[Cant. base],tblEntradas[Insumo],tblInsumos[[#This Row],[Insumo]],tblEntradas[Fecha],"&gt;="&amp;rngDesde,tblEntradas[Fecha],"&lt;="&amp;rngHasta)</calculatedColumnFormula>
    </tableColumn>
    <tableColumn id="11" name="Sal. periodo" dataDxfId="1">
      <calculatedColumnFormula>SUMIFS(tblSalidasIns[Cant. base],tblSalidasIns[Insumo],tblInsumos[[#This Row],[Insumo]],tblSalidasIns[Fecha],"&gt;="&amp;rngDesde,tblSalidasIns[Fecha],"&lt;="&amp;rngHasta)</calculatedColumnFormula>
    </tableColumn>
    <tableColumn id="12" name="Mov">
      <calculatedColumnFormula>IF(AND(tblInsumos[[#This Row],[Insumo]]&lt;&gt;"",tblInsumos[[#This Row],[Ent. periodo]]+tblInsumos[[#This Row],[Sal. periodo]]&gt;0),1,0)</calculatedColumnFormula>
    </tableColumn>
    <tableColumn id="13" name="NumMov">
      <calculatedColumnFormula>IF(tblInsumos[[#This Row],[Mov]]=1,SUM(INDEX(tblInsumos[Mov],1):tblInsumos[[#This Row],[Mov]]),"")</calculatedColumnFormula>
    </tableColumn>
    <tableColumn id="14" name="Crit">
      <calculatedColumnFormula>IF(AND(tblInsumos[[#This Row],[Insumo]]&lt;&gt;"",tblInsumos[[#This Row],[Mínimo]]&gt;0,tblInsumos[[#This Row],[Stock]]&lt;=tblInsumos[[#This Row],[Mínimo]]),1,0)</calculatedColumnFormula>
    </tableColumn>
    <tableColumn id="15" name="NumCrit">
      <calculatedColumnFormula>IF(tblInsumos[[#This Row],[Crit]]=1,SUM(INDEX(tblInsumos[Crit],1):tblInsumos[[#This Row],[Crit]]),"")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6" name="tblProductos" displayName="tblProductos" ref="B5:P9" totalsRowShown="0">
  <autoFilter ref="B5:P9"/>
  <tableColumns count="15">
    <tableColumn id="1" name="Producto" dataDxfId="0"/>
    <tableColumn id="2" name="Tipo" dataDxfId="0"/>
    <tableColumn id="3" name="Unidad base" dataDxfId="0"/>
    <tableColumn id="4" name="Rinde por lote" dataDxfId="1"/>
    <tableColumn id="5" name="Stock inicial" dataDxfId="1"/>
    <tableColumn id="6" name="Ajuste" dataDxfId="1"/>
    <tableColumn id="7" name="Producido" dataDxfId="1">
      <calculatedColumnFormula>SUMIFS(tblProduccion[Neto],tblProduccion[Producto],tblProductos[[#This Row],[Producto]])</calculatedColumnFormula>
    </tableColumn>
    <tableColumn id="8" name="Salidas" dataDxfId="1">
      <calculatedColumnFormula>SUMIFS(tblSalidasProd[Cant. base],tblSalidasProd[Producto],tblProductos[[#This Row],[Producto]])</calculatedColumnFormula>
    </tableColumn>
    <tableColumn id="9" name="Stock" dataDxfId="1">
      <calculatedColumnFormula>tblProductos[[#This Row],[Stock inicial]]+tblProductos[[#This Row],[Producido]]-tblProductos[[#This Row],[Salidas]]+tblProductos[[#This Row],[Ajuste]]</calculatedColumnFormula>
    </tableColumn>
    <tableColumn id="10" name="Prod. periodo" dataDxfId="1">
      <calculatedColumnFormula>SUMIFS(tblProduccion[Neto],tblProduccion[Producto],tblProductos[[#This Row],[Producto]],tblProduccion[Fecha],"&gt;="&amp;rngDesde,tblProduccion[Fecha],"&lt;="&amp;rngHasta)</calculatedColumnFormula>
    </tableColumn>
    <tableColumn id="11" name="Sal. periodo" dataDxfId="1">
      <calculatedColumnFormula>SUMIFS(tblSalidasProd[Cant. base],tblSalidasProd[Producto],tblProductos[[#This Row],[Producto]],tblSalidasProd[Fecha],"&gt;="&amp;rngDesde,tblSalidasProd[Fecha],"&lt;="&amp;rngHasta)</calculatedColumnFormula>
    </tableColumn>
    <tableColumn id="12" name="ProdF">
      <calculatedColumnFormula>IF(AND(tblProductos[[#This Row],[Producto]]&lt;&gt;"",tblProductos[[#This Row],[Prod. periodo]]&lt;&gt;0),1,0)</calculatedColumnFormula>
    </tableColumn>
    <tableColumn id="13" name="NumProd">
      <calculatedColumnFormula>IF(tblProductos[[#This Row],[ProdF]]=1,SUM(INDEX(tblProductos[ProdF],1):tblProductos[[#This Row],[ProdF]]),"")</calculatedColumnFormula>
    </tableColumn>
    <tableColumn id="14" name="SalF">
      <calculatedColumnFormula>IF(AND(tblProductos[[#This Row],[Producto]]&lt;&gt;"",tblProductos[[#This Row],[Sal. periodo]]&lt;&gt;0),1,0)</calculatedColumnFormula>
    </tableColumn>
    <tableColumn id="15" name="NumSal">
      <calculatedColumnFormula>IF(tblProductos[[#This Row],[SalF]]=1,SUM(INDEX(tblProductos[SalF],1):tblProductos[[#This Row],[SalF]]),"")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tblEquivalencias" displayName="tblEquivalencias" ref="B6:F15" totalsRowShown="0">
  <autoFilter ref="B6:F15"/>
  <tableColumns count="5">
    <tableColumn id="1" name="Artículo" dataDxfId="0"/>
    <tableColumn id="2" name="Presentación" dataDxfId="0"/>
    <tableColumn id="3" name="Factor" dataDxfId="1"/>
    <tableColumn id="4" name="Unidad base">
      <calculatedColumnFormula>IFERROR(INDEX(tblInsumos[Unidad base],MATCH(tblEquivalencias[[#This Row],[Artículo]],tblInsumos[Insumo],0)),IFERROR(INDEX(tblProductos[Unidad base],MATCH(tblEquivalencias[[#This Row],[Artículo]],tblProductos[Producto],0)),""))</calculatedColumnFormula>
    </tableColumn>
    <tableColumn id="5" name="Detalle" dataDxfId="0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tblUnidades" displayName="tblUnidades" ref="I6:I29" totalsRowShown="0">
  <autoFilter ref="I6:I29"/>
  <tableColumns count="1">
    <tableColumn id="1" name="Unidad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9" name="tblDestinos" displayName="tblDestinos" ref="K6:K9" totalsRowShown="0">
  <autoFilter ref="K6:K9"/>
  <tableColumns count="1">
    <tableColumn id="1" name="Destino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0" name="tblEncargados" displayName="tblEncargados" ref="M6:M7" totalsRowShown="0">
  <autoFilter ref="M6:M7"/>
  <tableColumns count="1">
    <tableColumn id="1" name="Encargado" dataDxfId="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11" name="tblRecetas" displayName="tblRecetas" ref="B5:G15" totalsRowShown="0">
  <autoFilter ref="B5:G15"/>
  <tableColumns count="6">
    <tableColumn id="1" name="Producto" dataDxfId="0"/>
    <tableColumn id="2" name="Insumo" dataDxfId="0"/>
    <tableColumn id="3" name="Cantidad por lote" dataDxfId="1"/>
    <tableColumn id="4" name="Unidad base">
      <calculatedColumnFormula>IFERROR(INDEX(tblInsumos[Unidad base],MATCH(tblRecetas[[#This Row],[Insumo]],tblInsumos[Insumo],0)),"")</calculatedColumnFormula>
    </tableColumn>
    <tableColumn id="5" name="Sel">
      <calculatedColumnFormula>IF(tblRecetas[[#This Row],[Producto]]=calcProducto,1,0)</calculatedColumnFormula>
    </tableColumn>
    <tableColumn id="6" name="Orden">
      <calculatedColumnFormula>IF(tblRecetas[[#This Row],[Sel]]=1,SUM(INDEX(tblRecetas[Sel],1):tblRecetas[[#This Row],[Sel]]),"")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table" Target="../tables/table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table" Target="../tables/table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table" Target="../tables/table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table" Target="../tables/table4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table" Target="../tables/table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table" Target="../tables/table6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table" Target="../tables/table7.xml"/><Relationship Id="rId3" Type="http://schemas.openxmlformats.org/officeDocument/2006/relationships/table" Target="../tables/table8.xml"/><Relationship Id="rId4" Type="http://schemas.openxmlformats.org/officeDocument/2006/relationships/table" Target="../tables/table9.xml"/><Relationship Id="rId5" Type="http://schemas.openxmlformats.org/officeDocument/2006/relationships/table" Target="../tables/table10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table" Target="../tables/table11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Inicio">
    <tabColor rgb="FF3D1A06"/>
    <pageSetUpPr fitToPage="1"/>
  </sheetPr>
  <dimension ref="A1:M50"/>
  <sheetViews>
    <sheetView showGridLines="0" tabSelected="1" workbookViewId="0"/>
  </sheetViews>
  <sheetFormatPr defaultRowHeight="15"/>
  <cols>
    <col min="1" max="1" width="2.7109375" customWidth="1"/>
    <col min="2" max="2" width="22.7109375" customWidth="1"/>
    <col min="3" max="6" width="13.7109375" customWidth="1"/>
    <col min="7" max="7" width="3.7109375" customWidth="1"/>
    <col min="8" max="8" width="22.7109375" customWidth="1"/>
    <col min="9" max="13" width="13.7109375" customWidth="1"/>
  </cols>
  <sheetData>
    <row r="1" spans="2:13" ht="40" customHeight="1">
      <c r="C1" s="1" t="s">
        <v>136</v>
      </c>
      <c r="D1" s="1"/>
      <c r="E1" s="1"/>
      <c r="F1" s="1"/>
      <c r="G1" s="1"/>
      <c r="H1" s="1"/>
    </row>
    <row r="2" spans="2:13" ht="20" customHeight="1">
      <c r="C2" s="2" t="s">
        <v>137</v>
      </c>
      <c r="D2" s="2"/>
      <c r="E2" s="2"/>
      <c r="F2" s="2"/>
      <c r="G2" s="2"/>
      <c r="H2" s="2"/>
    </row>
    <row r="3" spans="2:13" ht="30" customHeight="1"/>
    <row r="4" spans="2:13" ht="30" customHeight="1"/>
    <row r="6" spans="2:13">
      <c r="B6" s="3" t="s">
        <v>86</v>
      </c>
      <c r="C6" s="4">
        <f>TODAY()</f>
        <v>0</v>
      </c>
      <c r="D6" s="3" t="s">
        <v>140</v>
      </c>
      <c r="E6" s="5">
        <f>IF(rngPeriodo="Mes",DATE(YEAR(rngFecha),MONTH(rngFecha),1),IF(rngPeriodo="Semana",rngFecha-WEEKDAY(rngFecha,2)+1,rngFecha))</f>
        <v>0</v>
      </c>
      <c r="H6" s="6" t="s">
        <v>142</v>
      </c>
      <c r="I6" s="6"/>
      <c r="J6" s="6"/>
      <c r="K6" s="6"/>
      <c r="L6" s="6"/>
      <c r="M6" s="6"/>
    </row>
    <row r="7" spans="2:13">
      <c r="B7" s="3" t="s">
        <v>138</v>
      </c>
      <c r="C7" s="7" t="s">
        <v>139</v>
      </c>
      <c r="D7" s="3" t="s">
        <v>141</v>
      </c>
      <c r="E7" s="5">
        <f>IF(rngPeriodo="Mes",EOMONTH(rngFecha,0),IF(rngPeriodo="Semana",rngDesde+6,rngFecha))</f>
        <v>0</v>
      </c>
      <c r="H7" s="6"/>
      <c r="I7" s="6"/>
      <c r="J7" s="6"/>
      <c r="K7" s="6"/>
      <c r="L7" s="6"/>
      <c r="M7" s="6"/>
    </row>
    <row r="9" spans="2:13">
      <c r="B9" s="8" t="s">
        <v>84</v>
      </c>
      <c r="C9" s="8"/>
      <c r="D9" s="8" t="s">
        <v>103</v>
      </c>
      <c r="E9" s="8"/>
      <c r="H9" s="8" t="s">
        <v>143</v>
      </c>
      <c r="I9" s="8"/>
      <c r="J9" s="8" t="s">
        <v>144</v>
      </c>
      <c r="K9" s="8"/>
      <c r="L9" s="8" t="s">
        <v>145</v>
      </c>
      <c r="M9" s="8"/>
    </row>
    <row r="10" spans="2:13" ht="34" customHeight="1">
      <c r="B10" s="9">
        <f>COUNTIFS(tblEntradas[Fecha],"&gt;="&amp;rngDesde,tblEntradas[Fecha],"&lt;="&amp;rngHasta,tblEntradas[Insumo],"&lt;&gt;")</f>
        <v>0</v>
      </c>
      <c r="C10" s="9"/>
      <c r="D10" s="9">
        <f>COUNTIFS(tblSalidasIns[Fecha],"&gt;="&amp;rngDesde,tblSalidasIns[Fecha],"&lt;="&amp;rngHasta,tblSalidasIns[Insumo],"&lt;&gt;")</f>
        <v>0</v>
      </c>
      <c r="E10" s="9"/>
      <c r="H10" s="9">
        <f>SUMIFS(tblProduccion[Neto],tblProduccion[Tipo],"Pan",tblProduccion[Fecha],"&gt;="&amp;rngDesde,tblProduccion[Fecha],"&lt;="&amp;rngHasta)</f>
        <v>0</v>
      </c>
      <c r="I10" s="9"/>
      <c r="J10" s="9">
        <f>SUMIFS(tblProduccion[Neto],tblProduccion[Tipo],"Pastel",tblProduccion[Fecha],"&gt;="&amp;rngDesde,tblProduccion[Fecha],"&lt;="&amp;rngHasta)</f>
        <v>0</v>
      </c>
      <c r="K10" s="9"/>
      <c r="L10" s="9">
        <f>SUM(tblInsumos[Crit])</f>
        <v>0</v>
      </c>
      <c r="M10" s="9"/>
    </row>
    <row r="11" spans="2:13">
      <c r="B11" s="10">
        <f>"línea(s)  ·  S/ "&amp;FIXED(SUMIFS(tblEntradas[Precio total],tblEntradas[Fecha],"&gt;="&amp;rngDesde,tblEntradas[Fecha],"&lt;="&amp;rngHasta),2)</f>
        <v>0</v>
      </c>
      <c r="C11" s="10"/>
      <c r="D11" s="10">
        <f>"línea(s)"</f>
        <v>0</v>
      </c>
      <c r="E11" s="10"/>
      <c r="H11" s="10">
        <f>COUNTIFS(tblProduccion[Tipo],"Pan",tblProduccion[Fecha],"&gt;="&amp;rngDesde,tblProduccion[Fecha],"&lt;="&amp;rngHasta)&amp;" lote(s)"</f>
        <v>0</v>
      </c>
      <c r="I11" s="10"/>
      <c r="J11" s="10">
        <f>COUNTIFS(tblProduccion[Tipo],"Pastel",tblProduccion[Fecha],"&gt;="&amp;rngDesde,tblProduccion[Fecha],"&lt;="&amp;rngHasta)&amp;" lote(s)"</f>
        <v>0</v>
      </c>
      <c r="K11" s="10"/>
      <c r="L11" s="10">
        <f>"insumo(s) por reponer"</f>
        <v>0</v>
      </c>
      <c r="M11" s="10"/>
    </row>
    <row r="13" spans="2:13">
      <c r="B13" s="11" t="s">
        <v>146</v>
      </c>
      <c r="C13" s="11"/>
      <c r="D13" s="11"/>
      <c r="E13" s="11"/>
      <c r="H13" s="11" t="s">
        <v>147</v>
      </c>
      <c r="I13" s="11"/>
      <c r="J13" s="11"/>
    </row>
    <row r="14" spans="2:13">
      <c r="B14" s="12" t="s">
        <v>52</v>
      </c>
      <c r="C14" s="12" t="s">
        <v>56</v>
      </c>
      <c r="D14" s="12" t="s">
        <v>57</v>
      </c>
      <c r="E14" s="12" t="s">
        <v>25</v>
      </c>
      <c r="H14" s="12" t="s">
        <v>70</v>
      </c>
      <c r="I14" s="12" t="s">
        <v>71</v>
      </c>
      <c r="J14" s="12" t="s">
        <v>117</v>
      </c>
    </row>
    <row r="15" spans="2:13">
      <c r="B15" s="13">
        <f>IFERROR(INDEX(tblInsumos[Insumo],MATCH(1,tblInsumos[NumMov],0)),"")</f>
        <v>0</v>
      </c>
      <c r="C15" s="13">
        <f>IF(B15="","",INDEX(tblInsumos[Ent. periodo],MATCH(1,tblInsumos[NumMov],0)))</f>
        <v>0</v>
      </c>
      <c r="D15" s="13">
        <f>IF(B15="","",INDEX(tblInsumos[Sal. periodo],MATCH(1,tblInsumos[NumMov],0)))</f>
        <v>0</v>
      </c>
      <c r="E15" s="13">
        <f>IF(B15="","",INDEX(tblInsumos[Unidad base],MATCH(1,tblInsumos[NumMov],0)))</f>
        <v>0</v>
      </c>
      <c r="H15" s="13">
        <f>IFERROR(INDEX(tblProductos[Producto],MATCH(1,tblProductos[NumProd],0)),"")</f>
        <v>0</v>
      </c>
      <c r="I15" s="13">
        <f>IF(H15="","",INDEX(tblProductos[Tipo],MATCH(1,tblProductos[NumProd],0)))</f>
        <v>0</v>
      </c>
      <c r="J15" s="13">
        <f>IF(H15="","",INDEX(tblProductos[Prod. periodo],MATCH(1,tblProductos[NumProd],0)))</f>
        <v>0</v>
      </c>
    </row>
    <row r="16" spans="2:13">
      <c r="B16" s="13">
        <f>IFERROR(INDEX(tblInsumos[Insumo],MATCH(2,tblInsumos[NumMov],0)),"")</f>
        <v>0</v>
      </c>
      <c r="C16" s="13">
        <f>IF(B16="","",INDEX(tblInsumos[Ent. periodo],MATCH(2,tblInsumos[NumMov],0)))</f>
        <v>0</v>
      </c>
      <c r="D16" s="13">
        <f>IF(B16="","",INDEX(tblInsumos[Sal. periodo],MATCH(2,tblInsumos[NumMov],0)))</f>
        <v>0</v>
      </c>
      <c r="E16" s="13">
        <f>IF(B16="","",INDEX(tblInsumos[Unidad base],MATCH(2,tblInsumos[NumMov],0)))</f>
        <v>0</v>
      </c>
      <c r="H16" s="13">
        <f>IFERROR(INDEX(tblProductos[Producto],MATCH(2,tblProductos[NumProd],0)),"")</f>
        <v>0</v>
      </c>
      <c r="I16" s="13">
        <f>IF(H16="","",INDEX(tblProductos[Tipo],MATCH(2,tblProductos[NumProd],0)))</f>
        <v>0</v>
      </c>
      <c r="J16" s="13">
        <f>IF(H16="","",INDEX(tblProductos[Prod. periodo],MATCH(2,tblProductos[NumProd],0)))</f>
        <v>0</v>
      </c>
    </row>
    <row r="17" spans="2:10">
      <c r="B17" s="13">
        <f>IFERROR(INDEX(tblInsumos[Insumo],MATCH(3,tblInsumos[NumMov],0)),"")</f>
        <v>0</v>
      </c>
      <c r="C17" s="13">
        <f>IF(B17="","",INDEX(tblInsumos[Ent. periodo],MATCH(3,tblInsumos[NumMov],0)))</f>
        <v>0</v>
      </c>
      <c r="D17" s="13">
        <f>IF(B17="","",INDEX(tblInsumos[Sal. periodo],MATCH(3,tblInsumos[NumMov],0)))</f>
        <v>0</v>
      </c>
      <c r="E17" s="13">
        <f>IF(B17="","",INDEX(tblInsumos[Unidad base],MATCH(3,tblInsumos[NumMov],0)))</f>
        <v>0</v>
      </c>
      <c r="H17" s="13">
        <f>IFERROR(INDEX(tblProductos[Producto],MATCH(3,tblProductos[NumProd],0)),"")</f>
        <v>0</v>
      </c>
      <c r="I17" s="13">
        <f>IF(H17="","",INDEX(tblProductos[Tipo],MATCH(3,tblProductos[NumProd],0)))</f>
        <v>0</v>
      </c>
      <c r="J17" s="13">
        <f>IF(H17="","",INDEX(tblProductos[Prod. periodo],MATCH(3,tblProductos[NumProd],0)))</f>
        <v>0</v>
      </c>
    </row>
    <row r="18" spans="2:10">
      <c r="B18" s="13">
        <f>IFERROR(INDEX(tblInsumos[Insumo],MATCH(4,tblInsumos[NumMov],0)),"")</f>
        <v>0</v>
      </c>
      <c r="C18" s="13">
        <f>IF(B18="","",INDEX(tblInsumos[Ent. periodo],MATCH(4,tblInsumos[NumMov],0)))</f>
        <v>0</v>
      </c>
      <c r="D18" s="13">
        <f>IF(B18="","",INDEX(tblInsumos[Sal. periodo],MATCH(4,tblInsumos[NumMov],0)))</f>
        <v>0</v>
      </c>
      <c r="E18" s="13">
        <f>IF(B18="","",INDEX(tblInsumos[Unidad base],MATCH(4,tblInsumos[NumMov],0)))</f>
        <v>0</v>
      </c>
      <c r="H18" s="13">
        <f>IFERROR(INDEX(tblProductos[Producto],MATCH(4,tblProductos[NumProd],0)),"")</f>
        <v>0</v>
      </c>
      <c r="I18" s="13">
        <f>IF(H18="","",INDEX(tblProductos[Tipo],MATCH(4,tblProductos[NumProd],0)))</f>
        <v>0</v>
      </c>
      <c r="J18" s="13">
        <f>IF(H18="","",INDEX(tblProductos[Prod. periodo],MATCH(4,tblProductos[NumProd],0)))</f>
        <v>0</v>
      </c>
    </row>
    <row r="19" spans="2:10">
      <c r="B19" s="13">
        <f>IFERROR(INDEX(tblInsumos[Insumo],MATCH(5,tblInsumos[NumMov],0)),"")</f>
        <v>0</v>
      </c>
      <c r="C19" s="13">
        <f>IF(B19="","",INDEX(tblInsumos[Ent. periodo],MATCH(5,tblInsumos[NumMov],0)))</f>
        <v>0</v>
      </c>
      <c r="D19" s="13">
        <f>IF(B19="","",INDEX(tblInsumos[Sal. periodo],MATCH(5,tblInsumos[NumMov],0)))</f>
        <v>0</v>
      </c>
      <c r="E19" s="13">
        <f>IF(B19="","",INDEX(tblInsumos[Unidad base],MATCH(5,tblInsumos[NumMov],0)))</f>
        <v>0</v>
      </c>
      <c r="H19" s="13">
        <f>IFERROR(INDEX(tblProductos[Producto],MATCH(5,tblProductos[NumProd],0)),"")</f>
        <v>0</v>
      </c>
      <c r="I19" s="13">
        <f>IF(H19="","",INDEX(tblProductos[Tipo],MATCH(5,tblProductos[NumProd],0)))</f>
        <v>0</v>
      </c>
      <c r="J19" s="13">
        <f>IF(H19="","",INDEX(tblProductos[Prod. periodo],MATCH(5,tblProductos[NumProd],0)))</f>
        <v>0</v>
      </c>
    </row>
    <row r="20" spans="2:10">
      <c r="B20" s="13">
        <f>IFERROR(INDEX(tblInsumos[Insumo],MATCH(6,tblInsumos[NumMov],0)),"")</f>
        <v>0</v>
      </c>
      <c r="C20" s="13">
        <f>IF(B20="","",INDEX(tblInsumos[Ent. periodo],MATCH(6,tblInsumos[NumMov],0)))</f>
        <v>0</v>
      </c>
      <c r="D20" s="13">
        <f>IF(B20="","",INDEX(tblInsumos[Sal. periodo],MATCH(6,tblInsumos[NumMov],0)))</f>
        <v>0</v>
      </c>
      <c r="E20" s="13">
        <f>IF(B20="","",INDEX(tblInsumos[Unidad base],MATCH(6,tblInsumos[NumMov],0)))</f>
        <v>0</v>
      </c>
      <c r="H20" s="13">
        <f>IFERROR(INDEX(tblProductos[Producto],MATCH(6,tblProductos[NumProd],0)),"")</f>
        <v>0</v>
      </c>
      <c r="I20" s="13">
        <f>IF(H20="","",INDEX(tblProductos[Tipo],MATCH(6,tblProductos[NumProd],0)))</f>
        <v>0</v>
      </c>
      <c r="J20" s="13">
        <f>IF(H20="","",INDEX(tblProductos[Prod. periodo],MATCH(6,tblProductos[NumProd],0)))</f>
        <v>0</v>
      </c>
    </row>
    <row r="21" spans="2:10">
      <c r="B21" s="13">
        <f>IFERROR(INDEX(tblInsumos[Insumo],MATCH(7,tblInsumos[NumMov],0)),"")</f>
        <v>0</v>
      </c>
      <c r="C21" s="13">
        <f>IF(B21="","",INDEX(tblInsumos[Ent. periodo],MATCH(7,tblInsumos[NumMov],0)))</f>
        <v>0</v>
      </c>
      <c r="D21" s="13">
        <f>IF(B21="","",INDEX(tblInsumos[Sal. periodo],MATCH(7,tblInsumos[NumMov],0)))</f>
        <v>0</v>
      </c>
      <c r="E21" s="13">
        <f>IF(B21="","",INDEX(tblInsumos[Unidad base],MATCH(7,tblInsumos[NumMov],0)))</f>
        <v>0</v>
      </c>
      <c r="H21" s="13">
        <f>IFERROR(INDEX(tblProductos[Producto],MATCH(7,tblProductos[NumProd],0)),"")</f>
        <v>0</v>
      </c>
      <c r="I21" s="13">
        <f>IF(H21="","",INDEX(tblProductos[Tipo],MATCH(7,tblProductos[NumProd],0)))</f>
        <v>0</v>
      </c>
      <c r="J21" s="13">
        <f>IF(H21="","",INDEX(tblProductos[Prod. periodo],MATCH(7,tblProductos[NumProd],0)))</f>
        <v>0</v>
      </c>
    </row>
    <row r="22" spans="2:10">
      <c r="B22" s="13">
        <f>IFERROR(INDEX(tblInsumos[Insumo],MATCH(8,tblInsumos[NumMov],0)),"")</f>
        <v>0</v>
      </c>
      <c r="C22" s="13">
        <f>IF(B22="","",INDEX(tblInsumos[Ent. periodo],MATCH(8,tblInsumos[NumMov],0)))</f>
        <v>0</v>
      </c>
      <c r="D22" s="13">
        <f>IF(B22="","",INDEX(tblInsumos[Sal. periodo],MATCH(8,tblInsumos[NumMov],0)))</f>
        <v>0</v>
      </c>
      <c r="E22" s="13">
        <f>IF(B22="","",INDEX(tblInsumos[Unidad base],MATCH(8,tblInsumos[NumMov],0)))</f>
        <v>0</v>
      </c>
      <c r="H22" s="13">
        <f>IFERROR(INDEX(tblProductos[Producto],MATCH(8,tblProductos[NumProd],0)),"")</f>
        <v>0</v>
      </c>
      <c r="I22" s="13">
        <f>IF(H22="","",INDEX(tblProductos[Tipo],MATCH(8,tblProductos[NumProd],0)))</f>
        <v>0</v>
      </c>
      <c r="J22" s="13">
        <f>IF(H22="","",INDEX(tblProductos[Prod. periodo],MATCH(8,tblProductos[NumProd],0)))</f>
        <v>0</v>
      </c>
    </row>
    <row r="23" spans="2:10">
      <c r="B23" s="13">
        <f>IFERROR(INDEX(tblInsumos[Insumo],MATCH(9,tblInsumos[NumMov],0)),"")</f>
        <v>0</v>
      </c>
      <c r="C23" s="13">
        <f>IF(B23="","",INDEX(tblInsumos[Ent. periodo],MATCH(9,tblInsumos[NumMov],0)))</f>
        <v>0</v>
      </c>
      <c r="D23" s="13">
        <f>IF(B23="","",INDEX(tblInsumos[Sal. periodo],MATCH(9,tblInsumos[NumMov],0)))</f>
        <v>0</v>
      </c>
      <c r="E23" s="13">
        <f>IF(B23="","",INDEX(tblInsumos[Unidad base],MATCH(9,tblInsumos[NumMov],0)))</f>
        <v>0</v>
      </c>
      <c r="H23" s="13">
        <f>IFERROR(INDEX(tblProductos[Producto],MATCH(9,tblProductos[NumProd],0)),"")</f>
        <v>0</v>
      </c>
      <c r="I23" s="13">
        <f>IF(H23="","",INDEX(tblProductos[Tipo],MATCH(9,tblProductos[NumProd],0)))</f>
        <v>0</v>
      </c>
      <c r="J23" s="13">
        <f>IF(H23="","",INDEX(tblProductos[Prod. periodo],MATCH(9,tblProductos[NumProd],0)))</f>
        <v>0</v>
      </c>
    </row>
    <row r="24" spans="2:10">
      <c r="B24" s="13">
        <f>IFERROR(INDEX(tblInsumos[Insumo],MATCH(10,tblInsumos[NumMov],0)),"")</f>
        <v>0</v>
      </c>
      <c r="C24" s="13">
        <f>IF(B24="","",INDEX(tblInsumos[Ent. periodo],MATCH(10,tblInsumos[NumMov],0)))</f>
        <v>0</v>
      </c>
      <c r="D24" s="13">
        <f>IF(B24="","",INDEX(tblInsumos[Sal. periodo],MATCH(10,tblInsumos[NumMov],0)))</f>
        <v>0</v>
      </c>
      <c r="E24" s="13">
        <f>IF(B24="","",INDEX(tblInsumos[Unidad base],MATCH(10,tblInsumos[NumMov],0)))</f>
        <v>0</v>
      </c>
      <c r="H24" s="13">
        <f>IFERROR(INDEX(tblProductos[Producto],MATCH(10,tblProductos[NumProd],0)),"")</f>
        <v>0</v>
      </c>
      <c r="I24" s="13">
        <f>IF(H24="","",INDEX(tblProductos[Tipo],MATCH(10,tblProductos[NumProd],0)))</f>
        <v>0</v>
      </c>
      <c r="J24" s="13">
        <f>IF(H24="","",INDEX(tblProductos[Prod. periodo],MATCH(10,tblProductos[NumProd],0)))</f>
        <v>0</v>
      </c>
    </row>
    <row r="25" spans="2:10">
      <c r="B25" s="13">
        <f>IFERROR(INDEX(tblInsumos[Insumo],MATCH(11,tblInsumos[NumMov],0)),"")</f>
        <v>0</v>
      </c>
      <c r="C25" s="13">
        <f>IF(B25="","",INDEX(tblInsumos[Ent. periodo],MATCH(11,tblInsumos[NumMov],0)))</f>
        <v>0</v>
      </c>
      <c r="D25" s="13">
        <f>IF(B25="","",INDEX(tblInsumos[Sal. periodo],MATCH(11,tblInsumos[NumMov],0)))</f>
        <v>0</v>
      </c>
      <c r="E25" s="13">
        <f>IF(B25="","",INDEX(tblInsumos[Unidad base],MATCH(11,tblInsumos[NumMov],0)))</f>
        <v>0</v>
      </c>
      <c r="H25" s="13">
        <f>IFERROR(INDEX(tblProductos[Producto],MATCH(11,tblProductos[NumProd],0)),"")</f>
        <v>0</v>
      </c>
      <c r="I25" s="13">
        <f>IF(H25="","",INDEX(tblProductos[Tipo],MATCH(11,tblProductos[NumProd],0)))</f>
        <v>0</v>
      </c>
      <c r="J25" s="13">
        <f>IF(H25="","",INDEX(tblProductos[Prod. periodo],MATCH(11,tblProductos[NumProd],0)))</f>
        <v>0</v>
      </c>
    </row>
    <row r="26" spans="2:10">
      <c r="B26" s="13">
        <f>IFERROR(INDEX(tblInsumos[Insumo],MATCH(12,tblInsumos[NumMov],0)),"")</f>
        <v>0</v>
      </c>
      <c r="C26" s="13">
        <f>IF(B26="","",INDEX(tblInsumos[Ent. periodo],MATCH(12,tblInsumos[NumMov],0)))</f>
        <v>0</v>
      </c>
      <c r="D26" s="13">
        <f>IF(B26="","",INDEX(tblInsumos[Sal. periodo],MATCH(12,tblInsumos[NumMov],0)))</f>
        <v>0</v>
      </c>
      <c r="E26" s="13">
        <f>IF(B26="","",INDEX(tblInsumos[Unidad base],MATCH(12,tblInsumos[NumMov],0)))</f>
        <v>0</v>
      </c>
      <c r="H26" s="13">
        <f>IFERROR(INDEX(tblProductos[Producto],MATCH(12,tblProductos[NumProd],0)),"")</f>
        <v>0</v>
      </c>
      <c r="I26" s="13">
        <f>IF(H26="","",INDEX(tblProductos[Tipo],MATCH(12,tblProductos[NumProd],0)))</f>
        <v>0</v>
      </c>
      <c r="J26" s="13">
        <f>IF(H26="","",INDEX(tblProductos[Prod. periodo],MATCH(12,tblProductos[NumProd],0)))</f>
        <v>0</v>
      </c>
    </row>
    <row r="27" spans="2:10">
      <c r="B27" s="13">
        <f>IFERROR(INDEX(tblInsumos[Insumo],MATCH(13,tblInsumos[NumMov],0)),"")</f>
        <v>0</v>
      </c>
      <c r="C27" s="13">
        <f>IF(B27="","",INDEX(tblInsumos[Ent. periodo],MATCH(13,tblInsumos[NumMov],0)))</f>
        <v>0</v>
      </c>
      <c r="D27" s="13">
        <f>IF(B27="","",INDEX(tblInsumos[Sal. periodo],MATCH(13,tblInsumos[NumMov],0)))</f>
        <v>0</v>
      </c>
      <c r="E27" s="13">
        <f>IF(B27="","",INDEX(tblInsumos[Unidad base],MATCH(13,tblInsumos[NumMov],0)))</f>
        <v>0</v>
      </c>
      <c r="H27" s="13">
        <f>IFERROR(INDEX(tblProductos[Producto],MATCH(13,tblProductos[NumProd],0)),"")</f>
        <v>0</v>
      </c>
      <c r="I27" s="13">
        <f>IF(H27="","",INDEX(tblProductos[Tipo],MATCH(13,tblProductos[NumProd],0)))</f>
        <v>0</v>
      </c>
      <c r="J27" s="13">
        <f>IF(H27="","",INDEX(tblProductos[Prod. periodo],MATCH(13,tblProductos[NumProd],0)))</f>
        <v>0</v>
      </c>
    </row>
    <row r="28" spans="2:10">
      <c r="B28" s="13">
        <f>IFERROR(INDEX(tblInsumos[Insumo],MATCH(14,tblInsumos[NumMov],0)),"")</f>
        <v>0</v>
      </c>
      <c r="C28" s="13">
        <f>IF(B28="","",INDEX(tblInsumos[Ent. periodo],MATCH(14,tblInsumos[NumMov],0)))</f>
        <v>0</v>
      </c>
      <c r="D28" s="13">
        <f>IF(B28="","",INDEX(tblInsumos[Sal. periodo],MATCH(14,tblInsumos[NumMov],0)))</f>
        <v>0</v>
      </c>
      <c r="E28" s="13">
        <f>IF(B28="","",INDEX(tblInsumos[Unidad base],MATCH(14,tblInsumos[NumMov],0)))</f>
        <v>0</v>
      </c>
      <c r="H28" s="13">
        <f>IFERROR(INDEX(tblProductos[Producto],MATCH(14,tblProductos[NumProd],0)),"")</f>
        <v>0</v>
      </c>
      <c r="I28" s="13">
        <f>IF(H28="","",INDEX(tblProductos[Tipo],MATCH(14,tblProductos[NumProd],0)))</f>
        <v>0</v>
      </c>
      <c r="J28" s="13">
        <f>IF(H28="","",INDEX(tblProductos[Prod. periodo],MATCH(14,tblProductos[NumProd],0)))</f>
        <v>0</v>
      </c>
    </row>
    <row r="29" spans="2:10">
      <c r="B29" s="13">
        <f>IFERROR(INDEX(tblInsumos[Insumo],MATCH(15,tblInsumos[NumMov],0)),"")</f>
        <v>0</v>
      </c>
      <c r="C29" s="13">
        <f>IF(B29="","",INDEX(tblInsumos[Ent. periodo],MATCH(15,tblInsumos[NumMov],0)))</f>
        <v>0</v>
      </c>
      <c r="D29" s="13">
        <f>IF(B29="","",INDEX(tblInsumos[Sal. periodo],MATCH(15,tblInsumos[NumMov],0)))</f>
        <v>0</v>
      </c>
      <c r="E29" s="13">
        <f>IF(B29="","",INDEX(tblInsumos[Unidad base],MATCH(15,tblInsumos[NumMov],0)))</f>
        <v>0</v>
      </c>
      <c r="H29" s="13">
        <f>IFERROR(INDEX(tblProductos[Producto],MATCH(15,tblProductos[NumProd],0)),"")</f>
        <v>0</v>
      </c>
      <c r="I29" s="13">
        <f>IF(H29="","",INDEX(tblProductos[Tipo],MATCH(15,tblProductos[NumProd],0)))</f>
        <v>0</v>
      </c>
      <c r="J29" s="13">
        <f>IF(H29="","",INDEX(tblProductos[Prod. periodo],MATCH(15,tblProductos[NumProd],0)))</f>
        <v>0</v>
      </c>
    </row>
    <row r="30" spans="2:10">
      <c r="B30" s="14">
        <f>IF(SUM(tblInsumos[Mov])&gt;15,"… y "&amp;(SUM(tblInsumos[Mov])-15)&amp;" más (ver hoja completa)","")</f>
        <v>0</v>
      </c>
      <c r="H30" s="14">
        <f>IF(SUM(tblProductos[ProdF])&gt;15,"… y "&amp;(SUM(tblProductos[ProdF])-15)&amp;" más (ver hoja completa)","")</f>
        <v>0</v>
      </c>
    </row>
    <row r="33" spans="2:10">
      <c r="B33" s="11" t="s">
        <v>148</v>
      </c>
      <c r="C33" s="11"/>
      <c r="D33" s="11"/>
      <c r="H33" s="11" t="s">
        <v>149</v>
      </c>
      <c r="I33" s="11"/>
      <c r="J33" s="11"/>
    </row>
    <row r="34" spans="2:10">
      <c r="B34" s="12" t="s">
        <v>70</v>
      </c>
      <c r="C34" s="12" t="s">
        <v>90</v>
      </c>
      <c r="D34" s="12" t="s">
        <v>25</v>
      </c>
      <c r="H34" s="12" t="s">
        <v>52</v>
      </c>
      <c r="I34" s="12" t="s">
        <v>58</v>
      </c>
      <c r="J34" s="12" t="s">
        <v>53</v>
      </c>
    </row>
    <row r="35" spans="2:10">
      <c r="B35" s="13">
        <f>IFERROR(INDEX(tblProductos[Producto],MATCH(1,tblProductos[NumSal],0)),"")</f>
        <v>0</v>
      </c>
      <c r="C35" s="13">
        <f>IF(B35="","",INDEX(tblProductos[Sal. periodo],MATCH(1,tblProductos[NumSal],0)))</f>
        <v>0</v>
      </c>
      <c r="D35" s="13">
        <f>IF(B35="","",INDEX(tblProductos[Unidad base],MATCH(1,tblProductos[NumSal],0)))</f>
        <v>0</v>
      </c>
      <c r="H35" s="13">
        <f>IFERROR(INDEX(tblInsumos[Insumo],MATCH(1,tblInsumos[NumCrit],0)),"")</f>
        <v>0</v>
      </c>
      <c r="I35" s="15">
        <f>IF(H35="","",INDEX(tblInsumos[Stock],MATCH(1,tblInsumos[NumCrit],0)))</f>
        <v>0</v>
      </c>
      <c r="J35" s="13">
        <f>IF(H35="","",INDEX(tblInsumos[Mínimo],MATCH(1,tblInsumos[NumCrit],0)))</f>
        <v>0</v>
      </c>
    </row>
    <row r="36" spans="2:10">
      <c r="B36" s="13">
        <f>IFERROR(INDEX(tblProductos[Producto],MATCH(2,tblProductos[NumSal],0)),"")</f>
        <v>0</v>
      </c>
      <c r="C36" s="13">
        <f>IF(B36="","",INDEX(tblProductos[Sal. periodo],MATCH(2,tblProductos[NumSal],0)))</f>
        <v>0</v>
      </c>
      <c r="D36" s="13">
        <f>IF(B36="","",INDEX(tblProductos[Unidad base],MATCH(2,tblProductos[NumSal],0)))</f>
        <v>0</v>
      </c>
      <c r="H36" s="13">
        <f>IFERROR(INDEX(tblInsumos[Insumo],MATCH(2,tblInsumos[NumCrit],0)),"")</f>
        <v>0</v>
      </c>
      <c r="I36" s="15">
        <f>IF(H36="","",INDEX(tblInsumos[Stock],MATCH(2,tblInsumos[NumCrit],0)))</f>
        <v>0</v>
      </c>
      <c r="J36" s="13">
        <f>IF(H36="","",INDEX(tblInsumos[Mínimo],MATCH(2,tblInsumos[NumCrit],0)))</f>
        <v>0</v>
      </c>
    </row>
    <row r="37" spans="2:10">
      <c r="B37" s="13">
        <f>IFERROR(INDEX(tblProductos[Producto],MATCH(3,tblProductos[NumSal],0)),"")</f>
        <v>0</v>
      </c>
      <c r="C37" s="13">
        <f>IF(B37="","",INDEX(tblProductos[Sal. periodo],MATCH(3,tblProductos[NumSal],0)))</f>
        <v>0</v>
      </c>
      <c r="D37" s="13">
        <f>IF(B37="","",INDEX(tblProductos[Unidad base],MATCH(3,tblProductos[NumSal],0)))</f>
        <v>0</v>
      </c>
      <c r="H37" s="13">
        <f>IFERROR(INDEX(tblInsumos[Insumo],MATCH(3,tblInsumos[NumCrit],0)),"")</f>
        <v>0</v>
      </c>
      <c r="I37" s="15">
        <f>IF(H37="","",INDEX(tblInsumos[Stock],MATCH(3,tblInsumos[NumCrit],0)))</f>
        <v>0</v>
      </c>
      <c r="J37" s="13">
        <f>IF(H37="","",INDEX(tblInsumos[Mínimo],MATCH(3,tblInsumos[NumCrit],0)))</f>
        <v>0</v>
      </c>
    </row>
    <row r="38" spans="2:10">
      <c r="B38" s="13">
        <f>IFERROR(INDEX(tblProductos[Producto],MATCH(4,tblProductos[NumSal],0)),"")</f>
        <v>0</v>
      </c>
      <c r="C38" s="13">
        <f>IF(B38="","",INDEX(tblProductos[Sal. periodo],MATCH(4,tblProductos[NumSal],0)))</f>
        <v>0</v>
      </c>
      <c r="D38" s="13">
        <f>IF(B38="","",INDEX(tblProductos[Unidad base],MATCH(4,tblProductos[NumSal],0)))</f>
        <v>0</v>
      </c>
      <c r="H38" s="13">
        <f>IFERROR(INDEX(tblInsumos[Insumo],MATCH(4,tblInsumos[NumCrit],0)),"")</f>
        <v>0</v>
      </c>
      <c r="I38" s="15">
        <f>IF(H38="","",INDEX(tblInsumos[Stock],MATCH(4,tblInsumos[NumCrit],0)))</f>
        <v>0</v>
      </c>
      <c r="J38" s="13">
        <f>IF(H38="","",INDEX(tblInsumos[Mínimo],MATCH(4,tblInsumos[NumCrit],0)))</f>
        <v>0</v>
      </c>
    </row>
    <row r="39" spans="2:10">
      <c r="B39" s="13">
        <f>IFERROR(INDEX(tblProductos[Producto],MATCH(5,tblProductos[NumSal],0)),"")</f>
        <v>0</v>
      </c>
      <c r="C39" s="13">
        <f>IF(B39="","",INDEX(tblProductos[Sal. periodo],MATCH(5,tblProductos[NumSal],0)))</f>
        <v>0</v>
      </c>
      <c r="D39" s="13">
        <f>IF(B39="","",INDEX(tblProductos[Unidad base],MATCH(5,tblProductos[NumSal],0)))</f>
        <v>0</v>
      </c>
      <c r="H39" s="13">
        <f>IFERROR(INDEX(tblInsumos[Insumo],MATCH(5,tblInsumos[NumCrit],0)),"")</f>
        <v>0</v>
      </c>
      <c r="I39" s="15">
        <f>IF(H39="","",INDEX(tblInsumos[Stock],MATCH(5,tblInsumos[NumCrit],0)))</f>
        <v>0</v>
      </c>
      <c r="J39" s="13">
        <f>IF(H39="","",INDEX(tblInsumos[Mínimo],MATCH(5,tblInsumos[NumCrit],0)))</f>
        <v>0</v>
      </c>
    </row>
    <row r="40" spans="2:10">
      <c r="B40" s="13">
        <f>IFERROR(INDEX(tblProductos[Producto],MATCH(6,tblProductos[NumSal],0)),"")</f>
        <v>0</v>
      </c>
      <c r="C40" s="13">
        <f>IF(B40="","",INDEX(tblProductos[Sal. periodo],MATCH(6,tblProductos[NumSal],0)))</f>
        <v>0</v>
      </c>
      <c r="D40" s="13">
        <f>IF(B40="","",INDEX(tblProductos[Unidad base],MATCH(6,tblProductos[NumSal],0)))</f>
        <v>0</v>
      </c>
      <c r="H40" s="13">
        <f>IFERROR(INDEX(tblInsumos[Insumo],MATCH(6,tblInsumos[NumCrit],0)),"")</f>
        <v>0</v>
      </c>
      <c r="I40" s="15">
        <f>IF(H40="","",INDEX(tblInsumos[Stock],MATCH(6,tblInsumos[NumCrit],0)))</f>
        <v>0</v>
      </c>
      <c r="J40" s="13">
        <f>IF(H40="","",INDEX(tblInsumos[Mínimo],MATCH(6,tblInsumos[NumCrit],0)))</f>
        <v>0</v>
      </c>
    </row>
    <row r="41" spans="2:10">
      <c r="B41" s="13">
        <f>IFERROR(INDEX(tblProductos[Producto],MATCH(7,tblProductos[NumSal],0)),"")</f>
        <v>0</v>
      </c>
      <c r="C41" s="13">
        <f>IF(B41="","",INDEX(tblProductos[Sal. periodo],MATCH(7,tblProductos[NumSal],0)))</f>
        <v>0</v>
      </c>
      <c r="D41" s="13">
        <f>IF(B41="","",INDEX(tblProductos[Unidad base],MATCH(7,tblProductos[NumSal],0)))</f>
        <v>0</v>
      </c>
      <c r="H41" s="13">
        <f>IFERROR(INDEX(tblInsumos[Insumo],MATCH(7,tblInsumos[NumCrit],0)),"")</f>
        <v>0</v>
      </c>
      <c r="I41" s="15">
        <f>IF(H41="","",INDEX(tblInsumos[Stock],MATCH(7,tblInsumos[NumCrit],0)))</f>
        <v>0</v>
      </c>
      <c r="J41" s="13">
        <f>IF(H41="","",INDEX(tblInsumos[Mínimo],MATCH(7,tblInsumos[NumCrit],0)))</f>
        <v>0</v>
      </c>
    </row>
    <row r="42" spans="2:10">
      <c r="B42" s="13">
        <f>IFERROR(INDEX(tblProductos[Producto],MATCH(8,tblProductos[NumSal],0)),"")</f>
        <v>0</v>
      </c>
      <c r="C42" s="13">
        <f>IF(B42="","",INDEX(tblProductos[Sal. periodo],MATCH(8,tblProductos[NumSal],0)))</f>
        <v>0</v>
      </c>
      <c r="D42" s="13">
        <f>IF(B42="","",INDEX(tblProductos[Unidad base],MATCH(8,tblProductos[NumSal],0)))</f>
        <v>0</v>
      </c>
      <c r="H42" s="13">
        <f>IFERROR(INDEX(tblInsumos[Insumo],MATCH(8,tblInsumos[NumCrit],0)),"")</f>
        <v>0</v>
      </c>
      <c r="I42" s="15">
        <f>IF(H42="","",INDEX(tblInsumos[Stock],MATCH(8,tblInsumos[NumCrit],0)))</f>
        <v>0</v>
      </c>
      <c r="J42" s="13">
        <f>IF(H42="","",INDEX(tblInsumos[Mínimo],MATCH(8,tblInsumos[NumCrit],0)))</f>
        <v>0</v>
      </c>
    </row>
    <row r="43" spans="2:10">
      <c r="B43" s="13">
        <f>IFERROR(INDEX(tblProductos[Producto],MATCH(9,tblProductos[NumSal],0)),"")</f>
        <v>0</v>
      </c>
      <c r="C43" s="13">
        <f>IF(B43="","",INDEX(tblProductos[Sal. periodo],MATCH(9,tblProductos[NumSal],0)))</f>
        <v>0</v>
      </c>
      <c r="D43" s="13">
        <f>IF(B43="","",INDEX(tblProductos[Unidad base],MATCH(9,tblProductos[NumSal],0)))</f>
        <v>0</v>
      </c>
      <c r="H43" s="13">
        <f>IFERROR(INDEX(tblInsumos[Insumo],MATCH(9,tblInsumos[NumCrit],0)),"")</f>
        <v>0</v>
      </c>
      <c r="I43" s="15">
        <f>IF(H43="","",INDEX(tblInsumos[Stock],MATCH(9,tblInsumos[NumCrit],0)))</f>
        <v>0</v>
      </c>
      <c r="J43" s="13">
        <f>IF(H43="","",INDEX(tblInsumos[Mínimo],MATCH(9,tblInsumos[NumCrit],0)))</f>
        <v>0</v>
      </c>
    </row>
    <row r="44" spans="2:10">
      <c r="B44" s="13">
        <f>IFERROR(INDEX(tblProductos[Producto],MATCH(10,tblProductos[NumSal],0)),"")</f>
        <v>0</v>
      </c>
      <c r="C44" s="13">
        <f>IF(B44="","",INDEX(tblProductos[Sal. periodo],MATCH(10,tblProductos[NumSal],0)))</f>
        <v>0</v>
      </c>
      <c r="D44" s="13">
        <f>IF(B44="","",INDEX(tblProductos[Unidad base],MATCH(10,tblProductos[NumSal],0)))</f>
        <v>0</v>
      </c>
      <c r="H44" s="13">
        <f>IFERROR(INDEX(tblInsumos[Insumo],MATCH(10,tblInsumos[NumCrit],0)),"")</f>
        <v>0</v>
      </c>
      <c r="I44" s="15">
        <f>IF(H44="","",INDEX(tblInsumos[Stock],MATCH(10,tblInsumos[NumCrit],0)))</f>
        <v>0</v>
      </c>
      <c r="J44" s="13">
        <f>IF(H44="","",INDEX(tblInsumos[Mínimo],MATCH(10,tblInsumos[NumCrit],0)))</f>
        <v>0</v>
      </c>
    </row>
    <row r="45" spans="2:10">
      <c r="B45" s="13">
        <f>IFERROR(INDEX(tblProductos[Producto],MATCH(11,tblProductos[NumSal],0)),"")</f>
        <v>0</v>
      </c>
      <c r="C45" s="13">
        <f>IF(B45="","",INDEX(tblProductos[Sal. periodo],MATCH(11,tblProductos[NumSal],0)))</f>
        <v>0</v>
      </c>
      <c r="D45" s="13">
        <f>IF(B45="","",INDEX(tblProductos[Unidad base],MATCH(11,tblProductos[NumSal],0)))</f>
        <v>0</v>
      </c>
      <c r="H45" s="13">
        <f>IFERROR(INDEX(tblInsumos[Insumo],MATCH(11,tblInsumos[NumCrit],0)),"")</f>
        <v>0</v>
      </c>
      <c r="I45" s="15">
        <f>IF(H45="","",INDEX(tblInsumos[Stock],MATCH(11,tblInsumos[NumCrit],0)))</f>
        <v>0</v>
      </c>
      <c r="J45" s="13">
        <f>IF(H45="","",INDEX(tblInsumos[Mínimo],MATCH(11,tblInsumos[NumCrit],0)))</f>
        <v>0</v>
      </c>
    </row>
    <row r="46" spans="2:10">
      <c r="B46" s="13">
        <f>IFERROR(INDEX(tblProductos[Producto],MATCH(12,tblProductos[NumSal],0)),"")</f>
        <v>0</v>
      </c>
      <c r="C46" s="13">
        <f>IF(B46="","",INDEX(tblProductos[Sal. periodo],MATCH(12,tblProductos[NumSal],0)))</f>
        <v>0</v>
      </c>
      <c r="D46" s="13">
        <f>IF(B46="","",INDEX(tblProductos[Unidad base],MATCH(12,tblProductos[NumSal],0)))</f>
        <v>0</v>
      </c>
      <c r="H46" s="13">
        <f>IFERROR(INDEX(tblInsumos[Insumo],MATCH(12,tblInsumos[NumCrit],0)),"")</f>
        <v>0</v>
      </c>
      <c r="I46" s="15">
        <f>IF(H46="","",INDEX(tblInsumos[Stock],MATCH(12,tblInsumos[NumCrit],0)))</f>
        <v>0</v>
      </c>
      <c r="J46" s="13">
        <f>IF(H46="","",INDEX(tblInsumos[Mínimo],MATCH(12,tblInsumos[NumCrit],0)))</f>
        <v>0</v>
      </c>
    </row>
    <row r="47" spans="2:10">
      <c r="B47" s="13">
        <f>IFERROR(INDEX(tblProductos[Producto],MATCH(13,tblProductos[NumSal],0)),"")</f>
        <v>0</v>
      </c>
      <c r="C47" s="13">
        <f>IF(B47="","",INDEX(tblProductos[Sal. periodo],MATCH(13,tblProductos[NumSal],0)))</f>
        <v>0</v>
      </c>
      <c r="D47" s="13">
        <f>IF(B47="","",INDEX(tblProductos[Unidad base],MATCH(13,tblProductos[NumSal],0)))</f>
        <v>0</v>
      </c>
      <c r="H47" s="13">
        <f>IFERROR(INDEX(tblInsumos[Insumo],MATCH(13,tblInsumos[NumCrit],0)),"")</f>
        <v>0</v>
      </c>
      <c r="I47" s="15">
        <f>IF(H47="","",INDEX(tblInsumos[Stock],MATCH(13,tblInsumos[NumCrit],0)))</f>
        <v>0</v>
      </c>
      <c r="J47" s="13">
        <f>IF(H47="","",INDEX(tblInsumos[Mínimo],MATCH(13,tblInsumos[NumCrit],0)))</f>
        <v>0</v>
      </c>
    </row>
    <row r="48" spans="2:10">
      <c r="B48" s="13">
        <f>IFERROR(INDEX(tblProductos[Producto],MATCH(14,tblProductos[NumSal],0)),"")</f>
        <v>0</v>
      </c>
      <c r="C48" s="13">
        <f>IF(B48="","",INDEX(tblProductos[Sal. periodo],MATCH(14,tblProductos[NumSal],0)))</f>
        <v>0</v>
      </c>
      <c r="D48" s="13">
        <f>IF(B48="","",INDEX(tblProductos[Unidad base],MATCH(14,tblProductos[NumSal],0)))</f>
        <v>0</v>
      </c>
      <c r="H48" s="13">
        <f>IFERROR(INDEX(tblInsumos[Insumo],MATCH(14,tblInsumos[NumCrit],0)),"")</f>
        <v>0</v>
      </c>
      <c r="I48" s="15">
        <f>IF(H48="","",INDEX(tblInsumos[Stock],MATCH(14,tblInsumos[NumCrit],0)))</f>
        <v>0</v>
      </c>
      <c r="J48" s="13">
        <f>IF(H48="","",INDEX(tblInsumos[Mínimo],MATCH(14,tblInsumos[NumCrit],0)))</f>
        <v>0</v>
      </c>
    </row>
    <row r="49" spans="2:10">
      <c r="B49" s="13">
        <f>IFERROR(INDEX(tblProductos[Producto],MATCH(15,tblProductos[NumSal],0)),"")</f>
        <v>0</v>
      </c>
      <c r="C49" s="13">
        <f>IF(B49="","",INDEX(tblProductos[Sal. periodo],MATCH(15,tblProductos[NumSal],0)))</f>
        <v>0</v>
      </c>
      <c r="D49" s="13">
        <f>IF(B49="","",INDEX(tblProductos[Unidad base],MATCH(15,tblProductos[NumSal],0)))</f>
        <v>0</v>
      </c>
      <c r="H49" s="13">
        <f>IFERROR(INDEX(tblInsumos[Insumo],MATCH(15,tblInsumos[NumCrit],0)),"")</f>
        <v>0</v>
      </c>
      <c r="I49" s="15">
        <f>IF(H49="","",INDEX(tblInsumos[Stock],MATCH(15,tblInsumos[NumCrit],0)))</f>
        <v>0</v>
      </c>
      <c r="J49" s="13">
        <f>IF(H49="","",INDEX(tblInsumos[Mínimo],MATCH(15,tblInsumos[NumCrit],0)))</f>
        <v>0</v>
      </c>
    </row>
    <row r="50" spans="2:10">
      <c r="B50" s="14">
        <f>IF(SUM(tblProductos[SalF])&gt;15,"… y "&amp;(SUM(tblProductos[SalF])-15)&amp;" más (ver hoja completa)","")</f>
        <v>0</v>
      </c>
      <c r="H50" s="14">
        <f>IF(SUM(tblInsumos[Crit])&gt;15,"… y "&amp;(SUM(tblInsumos[Crit])-15)&amp;" más (ver hoja completa)","")</f>
        <v>0</v>
      </c>
    </row>
  </sheetData>
  <mergeCells count="22">
    <mergeCell ref="C1:H1"/>
    <mergeCell ref="C2:H2"/>
    <mergeCell ref="H6:M7"/>
    <mergeCell ref="B9:C9"/>
    <mergeCell ref="B10:C10"/>
    <mergeCell ref="B11:C11"/>
    <mergeCell ref="D9:E9"/>
    <mergeCell ref="D10:E10"/>
    <mergeCell ref="D11:E11"/>
    <mergeCell ref="H9:I9"/>
    <mergeCell ref="H10:I10"/>
    <mergeCell ref="H11:I11"/>
    <mergeCell ref="J9:K9"/>
    <mergeCell ref="J10:K10"/>
    <mergeCell ref="J11:K11"/>
    <mergeCell ref="L9:M9"/>
    <mergeCell ref="L10:M10"/>
    <mergeCell ref="L11:M11"/>
    <mergeCell ref="B13:E13"/>
    <mergeCell ref="H13:J13"/>
    <mergeCell ref="B33:D33"/>
    <mergeCell ref="H33:J33"/>
  </mergeCells>
  <dataValidations count="2">
    <dataValidation type="date" operator="greaterThan" allowBlank="1" showInputMessage="1" showErrorMessage="1" sqref="C6">
      <formula1>36526</formula1>
    </dataValidation>
    <dataValidation type="list" allowBlank="1" showInputMessage="1" showErrorMessage="1" sqref="C7">
      <formula1>Día,Semana,Mes</formula1>
    </dataValidation>
  </dataValidations>
  <pageMargins left="0.4" right="0.4" top="0.5" bottom="0.5" header="0.3" footer="0.3"/>
  <pageSetup paperSize="9" fitToHeight="0" orientation="landscape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ntradas">
    <tabColor rgb="FF2D6A4F"/>
    <pageSetUpPr fitToPage="1"/>
  </sheetPr>
  <dimension ref="A1:Q16"/>
  <sheetViews>
    <sheetView showGridLines="0" workbookViewId="0"/>
  </sheetViews>
  <sheetFormatPr defaultRowHeight="15"/>
  <cols>
    <col min="1" max="1" width="2.7109375" customWidth="1"/>
    <col min="2" max="2" width="8.7109375" customWidth="1"/>
    <col min="3" max="3" width="12.7109375" customWidth="1"/>
    <col min="4" max="4" width="10.7109375" customWidth="1"/>
    <col min="5" max="5" width="12.7109375" customWidth="1"/>
    <col min="6" max="6" width="18.7109375" customWidth="1"/>
    <col min="7" max="7" width="22.7109375" customWidth="1"/>
    <col min="8" max="8" width="13.7109375" customWidth="1"/>
    <col min="9" max="9" width="10.7109375" customWidth="1"/>
    <col min="10" max="10" width="9.7109375" customWidth="1"/>
    <col min="11" max="11" width="12.7109375" customWidth="1"/>
    <col min="12" max="12" width="11.7109375" customWidth="1"/>
    <col min="13" max="15" width="12.7109375" customWidth="1"/>
    <col min="16" max="16" width="24.7109375" customWidth="1"/>
    <col min="17" max="17" width="8.7109375" hidden="1" customWidth="1"/>
  </cols>
  <sheetData>
    <row r="1" spans="2:17" ht="34" customHeight="1">
      <c r="B1" s="1" t="s">
        <v>84</v>
      </c>
      <c r="C1" s="1"/>
      <c r="D1" s="1"/>
      <c r="E1" s="1"/>
      <c r="F1" s="1"/>
      <c r="G1" s="1"/>
      <c r="H1" s="1"/>
    </row>
    <row r="2" spans="2:17">
      <c r="B2" s="2" t="s">
        <v>85</v>
      </c>
    </row>
    <row r="4" spans="2:17">
      <c r="B4" s="3" t="s">
        <v>86</v>
      </c>
      <c r="C4" s="3"/>
      <c r="D4" s="4">
        <f>TODAY()</f>
        <v>0</v>
      </c>
      <c r="E4" s="4"/>
      <c r="F4" s="3" t="s">
        <v>87</v>
      </c>
      <c r="G4" s="7"/>
      <c r="H4" s="7"/>
    </row>
    <row r="5" spans="2:17">
      <c r="B5" s="3" t="s">
        <v>88</v>
      </c>
      <c r="C5" s="3"/>
      <c r="D5" s="7"/>
      <c r="E5" s="7"/>
      <c r="F5" s="3" t="s">
        <v>89</v>
      </c>
      <c r="G5" s="7"/>
      <c r="H5" s="7"/>
    </row>
    <row r="6" spans="2:17">
      <c r="B6" s="3" t="s">
        <v>52</v>
      </c>
      <c r="C6" s="3"/>
      <c r="D6" s="7"/>
      <c r="E6" s="7"/>
      <c r="F6" s="3" t="s">
        <v>4</v>
      </c>
      <c r="G6" s="7"/>
      <c r="H6" s="7"/>
    </row>
    <row r="7" spans="2:17">
      <c r="B7" s="3" t="s">
        <v>90</v>
      </c>
      <c r="C7" s="3"/>
      <c r="D7" s="16"/>
      <c r="E7" s="16"/>
      <c r="F7" s="3" t="s">
        <v>91</v>
      </c>
      <c r="G7" s="17"/>
      <c r="H7" s="17"/>
    </row>
    <row r="8" spans="2:17">
      <c r="B8" s="3" t="s">
        <v>92</v>
      </c>
      <c r="C8" s="3"/>
      <c r="D8" s="7"/>
      <c r="E8" s="7"/>
      <c r="F8" s="7"/>
      <c r="G8" s="7"/>
      <c r="H8" s="7"/>
    </row>
    <row r="9" spans="2:17">
      <c r="B9" s="3" t="s">
        <v>93</v>
      </c>
      <c r="C9" s="3"/>
      <c r="D9" s="18">
        <f>IF(OR(entInsumo="",entCantidad=""),"Elige insumo, presentación y cantidad",IF((entCantidad*IF(SUMIFS(tblEquivalencias[Factor],tblEquivalencias[Artículo],entInsumo,tblEquivalencias[Presentación],entPresentacion)&gt;0,SUMIFS(tblEquivalencias[Factor],tblEquivalencias[Artículo],entInsumo,tblEquivalencias[Presentación],entPresentacion),1))=INT(entCantidad*IF(SUMIFS(tblEquivalencias[Factor],tblEquivalencias[Artículo],entInsumo,tblEquivalencias[Presentación],entPresentacion)&gt;0,SUMIFS(tblEquivalencias[Factor],tblEquivalencias[Artículo],entInsumo,tblEquivalencias[Presentación],entPresentacion),1)),FIXED(entCantidad*IF(SUMIFS(tblEquivalencias[Factor],tblEquivalencias[Artículo],entInsumo,tblEquivalencias[Presentación],entPresentacion)&gt;0,SUMIFS(tblEquivalencias[Factor],tblEquivalencias[Artículo],entInsumo,tblEquivalencias[Presentación],entPresentacion),1),0),FIXED(entCantidad*IF(SUMIFS(tblEquivalencias[Factor],tblEquivalencias[Artículo],entInsumo,tblEquivalencias[Presentación],entPresentacion)&gt;0,SUMIFS(tblEquivalencias[Factor],tblEquivalencias[Artículo],entInsumo,tblEquivalencias[Presentación],entPresentacion),1),3))&amp;" "&amp;IFERROR(INDEX(tblInsumos[Unidad base],MATCH(entInsumo,tblInsumos[Insumo],0)),""))</f>
        <v>0</v>
      </c>
      <c r="E9" s="18"/>
      <c r="F9" s="18"/>
      <c r="G9" s="18"/>
      <c r="H9" s="18"/>
    </row>
    <row r="10" spans="2:17">
      <c r="B10" s="19"/>
      <c r="C10" s="19"/>
      <c r="D10" s="20"/>
      <c r="E10" s="20"/>
      <c r="F10" s="20"/>
      <c r="G10" s="20"/>
      <c r="H10" s="20"/>
    </row>
    <row r="11" spans="2:17">
      <c r="B11" s="6" t="s">
        <v>94</v>
      </c>
      <c r="C11" s="6"/>
      <c r="D11" s="6"/>
      <c r="E11" s="6"/>
      <c r="F11" s="6"/>
    </row>
    <row r="13" spans="2:17" ht="28" customHeight="1">
      <c r="B13" s="6" t="s">
        <v>95</v>
      </c>
      <c r="C13" s="6"/>
      <c r="D13" s="6"/>
      <c r="E13" s="6"/>
      <c r="F13" s="6"/>
      <c r="G13" s="6"/>
      <c r="H13" s="6"/>
      <c r="I13" s="6"/>
      <c r="J13" s="6"/>
    </row>
    <row r="15" spans="2:17">
      <c r="B15" t="s">
        <v>96</v>
      </c>
      <c r="C15" t="s">
        <v>86</v>
      </c>
      <c r="D15" t="s">
        <v>87</v>
      </c>
      <c r="E15" t="s">
        <v>97</v>
      </c>
      <c r="F15" t="s">
        <v>89</v>
      </c>
      <c r="G15" t="s">
        <v>52</v>
      </c>
      <c r="H15" t="s">
        <v>4</v>
      </c>
      <c r="I15" t="s">
        <v>90</v>
      </c>
      <c r="J15" t="s">
        <v>5</v>
      </c>
      <c r="K15" t="s">
        <v>98</v>
      </c>
      <c r="L15" t="s">
        <v>6</v>
      </c>
      <c r="M15" t="s">
        <v>99</v>
      </c>
      <c r="N15" t="s">
        <v>91</v>
      </c>
      <c r="O15" t="s">
        <v>100</v>
      </c>
      <c r="P15" t="s">
        <v>101</v>
      </c>
      <c r="Q15" t="s">
        <v>102</v>
      </c>
    </row>
    <row r="16" spans="2:17">
      <c r="B16" s="21"/>
      <c r="C16" s="22"/>
      <c r="D16" s="23"/>
      <c r="E16" s="23"/>
      <c r="F16" s="23"/>
      <c r="G16" s="23"/>
      <c r="H16" s="23"/>
      <c r="I16" s="21"/>
      <c r="J16" s="21">
        <f>IF(tblEntradas[[#This Row],[Factor registrado]]&gt;0,tblEntradas[[#This Row],[Factor registrado]],IF(SUMIFS(tblEquivalencias[Factor],tblEquivalencias[Artículo],tblEntradas[[#This Row],[Insumo]],tblEquivalencias[Presentación],tblEntradas[[#This Row],[Presentación]])&gt;0,SUMIFS(tblEquivalencias[Factor],tblEquivalencias[Artículo],tblEntradas[[#This Row],[Insumo]],tblEquivalencias[Presentación],tblEntradas[[#This Row],[Presentación]]),1))</f>
        <v>0</v>
      </c>
      <c r="K16" s="21">
        <f>tblEntradas[[#This Row],[Cantidad]]*tblEntradas[[#This Row],[Factor]]</f>
        <v>0</v>
      </c>
      <c r="L16">
        <f>IFERROR(INDEX(tblInsumos[Unidad base],MATCH(tblEntradas[[#This Row],[Insumo]],tblInsumos[Insumo],0)),"")</f>
        <v>0</v>
      </c>
      <c r="M16" s="24">
        <f>IFERROR(tblEntradas[[#This Row],[Precio total]]/tblEntradas[[#This Row],[Cantidad]],0)</f>
        <v>0</v>
      </c>
      <c r="N16" s="24"/>
      <c r="O16" s="24"/>
      <c r="P16" s="23"/>
      <c r="Q16" s="21"/>
    </row>
  </sheetData>
  <mergeCells count="20">
    <mergeCell ref="B1:H1"/>
    <mergeCell ref="B4:C4"/>
    <mergeCell ref="D4:E4"/>
    <mergeCell ref="G4:H4"/>
    <mergeCell ref="B5:C5"/>
    <mergeCell ref="D5:E5"/>
    <mergeCell ref="G5:H5"/>
    <mergeCell ref="B6:C6"/>
    <mergeCell ref="D6:E6"/>
    <mergeCell ref="G6:H6"/>
    <mergeCell ref="B7:C7"/>
    <mergeCell ref="D7:E7"/>
    <mergeCell ref="G7:H7"/>
    <mergeCell ref="B8:C8"/>
    <mergeCell ref="D8:H8"/>
    <mergeCell ref="B9:C9"/>
    <mergeCell ref="D9:H9"/>
    <mergeCell ref="D10:H10"/>
    <mergeCell ref="B11:F11"/>
    <mergeCell ref="B13:J13"/>
  </mergeCells>
  <dataValidations count="10">
    <dataValidation type="date" allowBlank="1" showInputMessage="1" showErrorMessage="1" error="Escribe una fecha válida (dd/mm/aaaa)." sqref="D4">
      <formula1>36526</formula1>
      <formula2>73415</formula2>
    </dataValidation>
    <dataValidation type="list" allowBlank="1" showInputMessage="1" showErrorMessage="1" sqref="G4">
      <formula1>Boleta,Factura,Otro</formula1>
    </dataValidation>
    <dataValidation type="list" allowBlank="1" showInputMessage="1" showErrorMessage="1" sqref="D6">
      <formula1>lstInsumos</formula1>
    </dataValidation>
    <dataValidation type="list" errorStyle="information" allowBlank="1" showInputMessage="1" showErrorMessage="1" errorTitle="PanControl" error="Ese valor no está en la lista. Si es correcto, pulsa Aceptar." sqref="G6">
      <formula1>lstUnidades</formula1>
    </dataValidation>
    <dataValidation type="decimal" operator="greaterThanOrEqual" allowBlank="1" showInputMessage="1" showErrorMessage="1" error="Escribe un número (0 o más)." sqref="D7">
      <formula1>0</formula1>
    </dataValidation>
    <dataValidation type="decimal" operator="greaterThanOrEqual" allowBlank="1" showInputMessage="1" showErrorMessage="1" error="Escribe un número (0 o más)." sqref="G7">
      <formula1>0</formula1>
    </dataValidation>
    <dataValidation type="date" operator="greaterThan" allowBlank="1" showInputMessage="1" showErrorMessage="1" sqref="C16:C3015">
      <formula1>36526</formula1>
    </dataValidation>
    <dataValidation type="list" allowBlank="1" showInputMessage="1" showErrorMessage="1" sqref="D16:D3015">
      <formula1>Boleta,Factura,Otro</formula1>
    </dataValidation>
    <dataValidation type="list" allowBlank="1" showInputMessage="1" showErrorMessage="1" sqref="G16:G3015">
      <formula1>lstInsumos</formula1>
    </dataValidation>
    <dataValidation type="list" errorStyle="information" allowBlank="1" showInputMessage="1" showErrorMessage="1" error="Esa presentación no está en la lista de Catálogos. Si es correcta, pulsa Aceptar." sqref="H16:H3015">
      <formula1>lstUnidades</formula1>
    </dataValidation>
  </dataValidations>
  <pageMargins left="0.4" right="0.4" top="0.5" bottom="0.5" header="0.3" footer="0.3"/>
  <pageSetup paperSize="9" fitToHeight="0" orientation="landscape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SalidasIns">
    <tabColor rgb="FF9B2335"/>
    <pageSetUpPr fitToPage="1"/>
  </sheetPr>
  <dimension ref="A1:M16"/>
  <sheetViews>
    <sheetView showGridLines="0" workbookViewId="0"/>
  </sheetViews>
  <sheetFormatPr defaultRowHeight="15"/>
  <cols>
    <col min="1" max="1" width="2.7109375" customWidth="1"/>
    <col min="2" max="2" width="8.7109375" customWidth="1"/>
    <col min="3" max="3" width="12.7109375" customWidth="1"/>
    <col min="4" max="4" width="20.7109375" customWidth="1"/>
    <col min="5" max="5" width="10.7109375" customWidth="1"/>
    <col min="6" max="6" width="22.7109375" customWidth="1"/>
    <col min="7" max="7" width="13.7109375" customWidth="1"/>
    <col min="8" max="8" width="10.7109375" customWidth="1"/>
    <col min="9" max="9" width="9.7109375" customWidth="1"/>
    <col min="10" max="10" width="12.7109375" customWidth="1"/>
    <col min="11" max="11" width="11.7109375" customWidth="1"/>
    <col min="12" max="12" width="30.7109375" customWidth="1"/>
    <col min="13" max="13" width="8.7109375" hidden="1" customWidth="1"/>
  </cols>
  <sheetData>
    <row r="1" spans="2:13" ht="34" customHeight="1">
      <c r="B1" s="1" t="s">
        <v>103</v>
      </c>
      <c r="C1" s="1"/>
      <c r="D1" s="1"/>
      <c r="E1" s="1"/>
      <c r="F1" s="1"/>
      <c r="G1" s="1"/>
      <c r="H1" s="1"/>
    </row>
    <row r="2" spans="2:13">
      <c r="B2" s="2" t="s">
        <v>104</v>
      </c>
    </row>
    <row r="4" spans="2:13">
      <c r="B4" s="3" t="s">
        <v>86</v>
      </c>
      <c r="C4" s="3"/>
      <c r="D4" s="4">
        <f>TODAY()</f>
        <v>0</v>
      </c>
      <c r="E4" s="4"/>
      <c r="F4" s="3" t="s">
        <v>105</v>
      </c>
      <c r="G4" s="7"/>
      <c r="H4" s="7"/>
    </row>
    <row r="5" spans="2:13">
      <c r="B5" s="3" t="s">
        <v>106</v>
      </c>
      <c r="C5" s="3"/>
      <c r="D5" s="7"/>
      <c r="E5" s="7"/>
      <c r="F5" s="19"/>
      <c r="G5" s="19"/>
      <c r="H5" s="19"/>
    </row>
    <row r="6" spans="2:13">
      <c r="B6" s="3" t="s">
        <v>52</v>
      </c>
      <c r="C6" s="3"/>
      <c r="D6" s="7"/>
      <c r="E6" s="7"/>
      <c r="F6" s="3" t="s">
        <v>4</v>
      </c>
      <c r="G6" s="7"/>
      <c r="H6" s="7"/>
    </row>
    <row r="7" spans="2:13">
      <c r="B7" s="3" t="s">
        <v>90</v>
      </c>
      <c r="C7" s="3"/>
      <c r="D7" s="16"/>
      <c r="E7" s="16"/>
      <c r="F7" s="19"/>
      <c r="G7" s="19"/>
      <c r="H7" s="19"/>
    </row>
    <row r="8" spans="2:13">
      <c r="B8" s="3" t="s">
        <v>92</v>
      </c>
      <c r="C8" s="3"/>
      <c r="D8" s="7"/>
      <c r="E8" s="7"/>
      <c r="F8" s="7"/>
      <c r="G8" s="7"/>
      <c r="H8" s="7"/>
    </row>
    <row r="9" spans="2:13">
      <c r="B9" s="3" t="s">
        <v>93</v>
      </c>
      <c r="C9" s="3"/>
      <c r="D9" s="18">
        <f>IF(OR(salInsumo="",salCantidad=""),"Elige insumo, presentación y cantidad",IF((salCantidad*IF(SUMIFS(tblEquivalencias[Factor],tblEquivalencias[Artículo],salInsumo,tblEquivalencias[Presentación],salPresentacion)&gt;0,SUMIFS(tblEquivalencias[Factor],tblEquivalencias[Artículo],salInsumo,tblEquivalencias[Presentación],salPresentacion),1))=INT(salCantidad*IF(SUMIFS(tblEquivalencias[Factor],tblEquivalencias[Artículo],salInsumo,tblEquivalencias[Presentación],salPresentacion)&gt;0,SUMIFS(tblEquivalencias[Factor],tblEquivalencias[Artículo],salInsumo,tblEquivalencias[Presentación],salPresentacion),1)),FIXED(salCantidad*IF(SUMIFS(tblEquivalencias[Factor],tblEquivalencias[Artículo],salInsumo,tblEquivalencias[Presentación],salPresentacion)&gt;0,SUMIFS(tblEquivalencias[Factor],tblEquivalencias[Artículo],salInsumo,tblEquivalencias[Presentación],salPresentacion),1),0),FIXED(salCantidad*IF(SUMIFS(tblEquivalencias[Factor],tblEquivalencias[Artículo],salInsumo,tblEquivalencias[Presentación],salPresentacion)&gt;0,SUMIFS(tblEquivalencias[Factor],tblEquivalencias[Artículo],salInsumo,tblEquivalencias[Presentación],salPresentacion),1),3))&amp;" "&amp;IFERROR(INDEX(tblInsumos[Unidad base],MATCH(salInsumo,tblInsumos[Insumo],0)),"")&amp;"  ·  stock actual: "&amp;IF((IFERROR(INDEX(tblInsumos[Stock],MATCH(salInsumo,tblInsumos[Insumo],0)),0))=INT(IFERROR(INDEX(tblInsumos[Stock],MATCH(salInsumo,tblInsumos[Insumo],0)),0)),FIXED(IFERROR(INDEX(tblInsumos[Stock],MATCH(salInsumo,tblInsumos[Insumo],0)),0),0),FIXED(IFERROR(INDEX(tblInsumos[Stock],MATCH(salInsumo,tblInsumos[Insumo],0)),0),3)))</f>
        <v>0</v>
      </c>
      <c r="E9" s="18"/>
      <c r="F9" s="18"/>
      <c r="G9" s="18"/>
      <c r="H9" s="18"/>
    </row>
    <row r="10" spans="2:13">
      <c r="B10" s="19"/>
      <c r="C10" s="19"/>
      <c r="D10" s="20"/>
      <c r="E10" s="20"/>
      <c r="F10" s="20"/>
      <c r="G10" s="20"/>
      <c r="H10" s="20"/>
    </row>
    <row r="13" spans="2:13" ht="28" customHeight="1">
      <c r="B13" s="6" t="s">
        <v>95</v>
      </c>
      <c r="C13" s="6"/>
      <c r="D13" s="6"/>
      <c r="E13" s="6"/>
      <c r="F13" s="6"/>
      <c r="G13" s="6"/>
      <c r="H13" s="6"/>
      <c r="I13" s="6"/>
      <c r="J13" s="6"/>
    </row>
    <row r="15" spans="2:13">
      <c r="B15" t="s">
        <v>96</v>
      </c>
      <c r="C15" t="s">
        <v>86</v>
      </c>
      <c r="D15" t="s">
        <v>105</v>
      </c>
      <c r="E15" t="s">
        <v>106</v>
      </c>
      <c r="F15" t="s">
        <v>52</v>
      </c>
      <c r="G15" t="s">
        <v>4</v>
      </c>
      <c r="H15" t="s">
        <v>90</v>
      </c>
      <c r="I15" t="s">
        <v>5</v>
      </c>
      <c r="J15" t="s">
        <v>98</v>
      </c>
      <c r="K15" t="s">
        <v>6</v>
      </c>
      <c r="L15" t="s">
        <v>101</v>
      </c>
      <c r="M15" t="s">
        <v>102</v>
      </c>
    </row>
    <row r="16" spans="2:13">
      <c r="B16" s="21"/>
      <c r="C16" s="22"/>
      <c r="D16" s="23"/>
      <c r="E16" s="23"/>
      <c r="F16" s="23"/>
      <c r="G16" s="23"/>
      <c r="H16" s="21"/>
      <c r="I16" s="21">
        <f>IF(tblSalidasIns[[#This Row],[Factor registrado]]&gt;0,tblSalidasIns[[#This Row],[Factor registrado]],IF(SUMIFS(tblEquivalencias[Factor],tblEquivalencias[Artículo],tblSalidasIns[[#This Row],[Insumo]],tblEquivalencias[Presentación],tblSalidasIns[[#This Row],[Presentación]])&gt;0,SUMIFS(tblEquivalencias[Factor],tblEquivalencias[Artículo],tblSalidasIns[[#This Row],[Insumo]],tblEquivalencias[Presentación],tblSalidasIns[[#This Row],[Presentación]]),1))</f>
        <v>0</v>
      </c>
      <c r="J16" s="21">
        <f>tblSalidasIns[[#This Row],[Cantidad]]*tblSalidasIns[[#This Row],[Factor]]</f>
        <v>0</v>
      </c>
      <c r="K16">
        <f>IFERROR(INDEX(tblInsumos[Unidad base],MATCH(tblSalidasIns[[#This Row],[Insumo]],tblInsumos[Insumo],0)),"")</f>
        <v>0</v>
      </c>
      <c r="L16" s="23"/>
      <c r="M16" s="21"/>
    </row>
  </sheetData>
  <mergeCells count="17">
    <mergeCell ref="B1:H1"/>
    <mergeCell ref="B4:C4"/>
    <mergeCell ref="D4:E4"/>
    <mergeCell ref="G4:H4"/>
    <mergeCell ref="B5:C5"/>
    <mergeCell ref="D5:E5"/>
    <mergeCell ref="B6:C6"/>
    <mergeCell ref="D6:E6"/>
    <mergeCell ref="G6:H6"/>
    <mergeCell ref="B7:C7"/>
    <mergeCell ref="D7:E7"/>
    <mergeCell ref="B8:C8"/>
    <mergeCell ref="D8:H8"/>
    <mergeCell ref="B9:C9"/>
    <mergeCell ref="D9:H9"/>
    <mergeCell ref="D10:H10"/>
    <mergeCell ref="B13:J13"/>
  </mergeCells>
  <dataValidations count="9">
    <dataValidation type="date" allowBlank="1" showInputMessage="1" showErrorMessage="1" error="Escribe una fecha válida (dd/mm/aaaa)." sqref="D4">
      <formula1>36526</formula1>
      <formula2>73415</formula2>
    </dataValidation>
    <dataValidation type="list" allowBlank="1" showInputMessage="1" showErrorMessage="1" sqref="G4">
      <formula1>Usado en Producción,Merma / Pérdida,Devolución,Otro</formula1>
    </dataValidation>
    <dataValidation type="list" allowBlank="1" showInputMessage="1" showErrorMessage="1" sqref="D6">
      <formula1>lstInsumos</formula1>
    </dataValidation>
    <dataValidation type="list" errorStyle="information" allowBlank="1" showInputMessage="1" showErrorMessage="1" errorTitle="PanControl" error="Ese valor no está en la lista. Si es correcto, pulsa Aceptar." sqref="G6">
      <formula1>lstUnidades</formula1>
    </dataValidation>
    <dataValidation type="decimal" operator="greaterThanOrEqual" allowBlank="1" showInputMessage="1" showErrorMessage="1" error="Escribe un número (0 o más)." sqref="D7">
      <formula1>0</formula1>
    </dataValidation>
    <dataValidation type="date" operator="greaterThan" allowBlank="1" showInputMessage="1" showErrorMessage="1" sqref="C16:C3015">
      <formula1>36526</formula1>
    </dataValidation>
    <dataValidation type="list" allowBlank="1" showInputMessage="1" showErrorMessage="1" sqref="D16:D3015">
      <formula1>Usado en Producción,Merma / Pérdida,Devolución,Otro</formula1>
    </dataValidation>
    <dataValidation type="list" allowBlank="1" showInputMessage="1" showErrorMessage="1" sqref="F16:F3015">
      <formula1>lstInsumos</formula1>
    </dataValidation>
    <dataValidation type="list" errorStyle="information" allowBlank="1" showInputMessage="1" showErrorMessage="1" error="Esa presentación no está en la lista de Catálogos. Si es correcta, pulsa Aceptar." sqref="G16:G3015">
      <formula1>lstUnidades</formula1>
    </dataValidation>
  </dataValidations>
  <pageMargins left="0.4" right="0.4" top="0.5" bottom="0.5" header="0.3" footer="0.3"/>
  <pageSetup paperSize="9" fitToHeight="0" orientation="landscape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Produccion">
    <tabColor rgb="FFC8511A"/>
    <pageSetUpPr fitToPage="1"/>
  </sheetPr>
  <dimension ref="A1:N17"/>
  <sheetViews>
    <sheetView showGridLines="0" workbookViewId="0"/>
  </sheetViews>
  <sheetFormatPr defaultRowHeight="15"/>
  <cols>
    <col min="1" max="1" width="2.7109375" customWidth="1"/>
    <col min="2" max="2" width="8.7109375" customWidth="1"/>
    <col min="3" max="3" width="12.7109375" customWidth="1"/>
    <col min="4" max="4" width="10.7109375" customWidth="1"/>
    <col min="5" max="5" width="9.7109375" customWidth="1"/>
    <col min="6" max="6" width="22.7109375" customWidth="1"/>
    <col min="7" max="7" width="13.7109375" customWidth="1"/>
    <col min="8" max="8" width="16.7109375" customWidth="1"/>
    <col min="9" max="9" width="14.7109375" customWidth="1"/>
    <col min="10" max="10" width="12.7109375" customWidth="1"/>
    <col min="11" max="12" width="11.7109375" customWidth="1"/>
    <col min="13" max="13" width="10.7109375" customWidth="1"/>
    <col min="14" max="14" width="30.7109375" customWidth="1"/>
  </cols>
  <sheetData>
    <row r="1" spans="2:14" ht="34" customHeight="1">
      <c r="B1" s="1" t="s">
        <v>107</v>
      </c>
      <c r="C1" s="1"/>
      <c r="D1" s="1"/>
      <c r="E1" s="1"/>
      <c r="F1" s="1"/>
      <c r="G1" s="1"/>
      <c r="H1" s="1"/>
    </row>
    <row r="2" spans="2:14">
      <c r="B2" s="2" t="s">
        <v>108</v>
      </c>
    </row>
    <row r="4" spans="2:14">
      <c r="B4" s="3" t="s">
        <v>86</v>
      </c>
      <c r="C4" s="3"/>
      <c r="D4" s="4">
        <f>TODAY()</f>
        <v>0</v>
      </c>
      <c r="E4" s="4"/>
      <c r="F4" s="3" t="s">
        <v>109</v>
      </c>
      <c r="G4" s="7"/>
      <c r="H4" s="7"/>
    </row>
    <row r="5" spans="2:14">
      <c r="B5" s="3" t="s">
        <v>70</v>
      </c>
      <c r="C5" s="3"/>
      <c r="D5" s="7"/>
      <c r="E5" s="7"/>
      <c r="F5" s="19"/>
      <c r="G5" s="19"/>
      <c r="H5" s="19"/>
    </row>
    <row r="6" spans="2:14">
      <c r="B6" s="3" t="s">
        <v>4</v>
      </c>
      <c r="C6" s="3"/>
      <c r="D6" s="7"/>
      <c r="E6" s="7"/>
      <c r="F6" s="3" t="s">
        <v>110</v>
      </c>
      <c r="G6" s="16"/>
      <c r="H6" s="16"/>
    </row>
    <row r="7" spans="2:14">
      <c r="B7" s="3" t="s">
        <v>111</v>
      </c>
      <c r="C7" s="3"/>
      <c r="D7" s="7"/>
      <c r="E7" s="7"/>
      <c r="F7" s="3" t="s">
        <v>112</v>
      </c>
      <c r="G7" s="16"/>
      <c r="H7" s="16"/>
    </row>
    <row r="8" spans="2:14">
      <c r="B8" s="3" t="s">
        <v>113</v>
      </c>
      <c r="C8" s="3"/>
      <c r="D8" s="16"/>
      <c r="E8" s="16"/>
      <c r="F8" s="3" t="s">
        <v>114</v>
      </c>
      <c r="G8" s="16"/>
      <c r="H8" s="16"/>
    </row>
    <row r="9" spans="2:14">
      <c r="B9" s="3" t="s">
        <v>92</v>
      </c>
      <c r="C9" s="3"/>
      <c r="D9" s="7"/>
      <c r="E9" s="7"/>
      <c r="F9" s="7"/>
      <c r="G9" s="7"/>
      <c r="H9" s="7"/>
    </row>
    <row r="10" spans="2:14">
      <c r="B10" s="3" t="s">
        <v>115</v>
      </c>
      <c r="C10" s="3"/>
      <c r="D10" s="18">
        <f>IF(proProducto="","Elige el producto","Tipo: "&amp;IFERROR(INDEX(tblProductos[Tipo],MATCH(proProducto,tblProductos[Producto],0)),"?")&amp;"  ·  Neto: "&amp;IF((N(proProducido)-N(proDefectuoso))=INT(N(proProducido)-N(proDefectuoso)),FIXED(N(proProducido)-N(proDefectuoso),0),FIXED(N(proProducido)-N(proDefectuoso),3)))</f>
        <v>0</v>
      </c>
      <c r="E10" s="18"/>
      <c r="F10" s="18"/>
      <c r="G10" s="18"/>
      <c r="H10" s="18"/>
    </row>
    <row r="11" spans="2:14">
      <c r="B11" s="19"/>
      <c r="C11" s="19"/>
      <c r="D11" s="20"/>
      <c r="E11" s="20"/>
      <c r="F11" s="20"/>
      <c r="G11" s="20"/>
      <c r="H11" s="20"/>
    </row>
    <row r="12" spans="2:14">
      <c r="B12" s="6" t="s">
        <v>116</v>
      </c>
      <c r="C12" s="6"/>
      <c r="D12" s="6"/>
      <c r="E12" s="6"/>
      <c r="F12" s="6"/>
    </row>
    <row r="14" spans="2:14" ht="28" customHeight="1">
      <c r="B14" s="6" t="s">
        <v>95</v>
      </c>
      <c r="C14" s="6"/>
      <c r="D14" s="6"/>
      <c r="E14" s="6"/>
      <c r="F14" s="6"/>
      <c r="G14" s="6"/>
      <c r="H14" s="6"/>
      <c r="I14" s="6"/>
      <c r="J14" s="6"/>
    </row>
    <row r="16" spans="2:14">
      <c r="B16" t="s">
        <v>96</v>
      </c>
      <c r="C16" t="s">
        <v>86</v>
      </c>
      <c r="D16" t="s">
        <v>109</v>
      </c>
      <c r="E16" t="s">
        <v>71</v>
      </c>
      <c r="F16" t="s">
        <v>70</v>
      </c>
      <c r="G16" t="s">
        <v>4</v>
      </c>
      <c r="H16" t="s">
        <v>110</v>
      </c>
      <c r="I16" t="s">
        <v>111</v>
      </c>
      <c r="J16" t="s">
        <v>112</v>
      </c>
      <c r="K16" t="s">
        <v>73</v>
      </c>
      <c r="L16" t="s">
        <v>114</v>
      </c>
      <c r="M16" t="s">
        <v>117</v>
      </c>
      <c r="N16" t="s">
        <v>101</v>
      </c>
    </row>
    <row r="17" spans="2:14">
      <c r="B17" s="21"/>
      <c r="C17" s="22"/>
      <c r="D17" s="23"/>
      <c r="E17" s="23"/>
      <c r="F17" s="23"/>
      <c r="G17" s="23"/>
      <c r="H17" s="21"/>
      <c r="I17" s="23"/>
      <c r="J17" s="21"/>
      <c r="K17" s="21"/>
      <c r="L17" s="21"/>
      <c r="M17" s="21">
        <f>N(tblProduccion[[#This Row],[Producido]])-N(tblProduccion[[#This Row],[Defectuoso]])</f>
        <v>0</v>
      </c>
      <c r="N17" s="23"/>
    </row>
  </sheetData>
  <mergeCells count="22">
    <mergeCell ref="B1:H1"/>
    <mergeCell ref="B4:C4"/>
    <mergeCell ref="D4:E4"/>
    <mergeCell ref="G4:H4"/>
    <mergeCell ref="B5:C5"/>
    <mergeCell ref="D5:E5"/>
    <mergeCell ref="B6:C6"/>
    <mergeCell ref="D6:E6"/>
    <mergeCell ref="G6:H6"/>
    <mergeCell ref="B7:C7"/>
    <mergeCell ref="D7:E7"/>
    <mergeCell ref="G7:H7"/>
    <mergeCell ref="B8:C8"/>
    <mergeCell ref="D8:E8"/>
    <mergeCell ref="G8:H8"/>
    <mergeCell ref="B9:C9"/>
    <mergeCell ref="D9:H9"/>
    <mergeCell ref="B10:C10"/>
    <mergeCell ref="D10:H10"/>
    <mergeCell ref="D11:H11"/>
    <mergeCell ref="B12:F12"/>
    <mergeCell ref="B14:J14"/>
  </mergeCells>
  <dataValidations count="15">
    <dataValidation type="date" allowBlank="1" showInputMessage="1" showErrorMessage="1" error="Escribe una fecha válida (dd/mm/aaaa)." sqref="D4">
      <formula1>36526</formula1>
      <formula2>73415</formula2>
    </dataValidation>
    <dataValidation type="list" allowBlank="1" showInputMessage="1" showErrorMessage="1" sqref="G4">
      <formula1>Mañana,Tarde,Noche</formula1>
    </dataValidation>
    <dataValidation type="list" allowBlank="1" showInputMessage="1" showErrorMessage="1" sqref="D5">
      <formula1>lstProductos</formula1>
    </dataValidation>
    <dataValidation type="list" errorStyle="information" allowBlank="1" showInputMessage="1" showErrorMessage="1" errorTitle="PanControl" error="Ese valor no está en la lista. Si es correcto, pulsa Aceptar." sqref="D6">
      <formula1>lstUnidades</formula1>
    </dataValidation>
    <dataValidation type="decimal" operator="greaterThanOrEqual" allowBlank="1" showInputMessage="1" showErrorMessage="1" error="Escribe un número (0 o más)." sqref="G6">
      <formula1>0</formula1>
    </dataValidation>
    <dataValidation type="list" errorStyle="information" allowBlank="1" showInputMessage="1" showErrorMessage="1" errorTitle="PanControl" error="Ese valor no está en la lista. Si es correcto, pulsa Aceptar." sqref="D7">
      <formula1>lstUnidades</formula1>
    </dataValidation>
    <dataValidation type="decimal" operator="greaterThanOrEqual" allowBlank="1" showInputMessage="1" showErrorMessage="1" error="Escribe un número (0 o más)." sqref="G7">
      <formula1>0</formula1>
    </dataValidation>
    <dataValidation type="decimal" operator="greaterThanOrEqual" allowBlank="1" showInputMessage="1" showErrorMessage="1" error="Escribe un número (0 o más)." sqref="D8">
      <formula1>0</formula1>
    </dataValidation>
    <dataValidation type="decimal" operator="greaterThanOrEqual" allowBlank="1" showInputMessage="1" showErrorMessage="1" error="Escribe un número (0 o más)." sqref="G8">
      <formula1>0</formula1>
    </dataValidation>
    <dataValidation type="date" operator="greaterThan" allowBlank="1" showInputMessage="1" showErrorMessage="1" sqref="C17:C3016">
      <formula1>36526</formula1>
    </dataValidation>
    <dataValidation type="list" allowBlank="1" showInputMessage="1" showErrorMessage="1" sqref="D17:D3016">
      <formula1>Mañana,Tarde,Noche</formula1>
    </dataValidation>
    <dataValidation type="list" allowBlank="1" showInputMessage="1" showErrorMessage="1" sqref="E17:E3016">
      <formula1>Pan,Pastel</formula1>
    </dataValidation>
    <dataValidation type="list" allowBlank="1" showInputMessage="1" showErrorMessage="1" sqref="F17:F3016">
      <formula1>lstProductos</formula1>
    </dataValidation>
    <dataValidation type="list" errorStyle="information" allowBlank="1" showInputMessage="1" showErrorMessage="1" error="Esa presentación no está en la lista de Catálogos. Si es correcta, pulsa Aceptar." sqref="G17:G3016">
      <formula1>lstUnidades</formula1>
    </dataValidation>
    <dataValidation type="list" errorStyle="information" allowBlank="1" showInputMessage="1" showErrorMessage="1" error="Esa presentación no está en la lista de Catálogos. Si es correcta, pulsa Aceptar." sqref="I17:I3016">
      <formula1>lstUnidades</formula1>
    </dataValidation>
  </dataValidations>
  <pageMargins left="0.4" right="0.4" top="0.5" bottom="0.5" header="0.3" footer="0.3"/>
  <pageSetup paperSize="9" fitToHeight="0" orientation="landscape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SalidasProd">
    <tabColor rgb="FF9B2335"/>
    <pageSetUpPr fitToPage="1"/>
  </sheetPr>
  <dimension ref="A1:O16"/>
  <sheetViews>
    <sheetView showGridLines="0" workbookViewId="0"/>
  </sheetViews>
  <sheetFormatPr defaultRowHeight="15"/>
  <cols>
    <col min="1" max="1" width="2.7109375" customWidth="1"/>
    <col min="2" max="2" width="8.7109375" customWidth="1"/>
    <col min="3" max="3" width="12.7109375" customWidth="1"/>
    <col min="4" max="4" width="11.7109375" customWidth="1"/>
    <col min="5" max="5" width="22.7109375" customWidth="1"/>
    <col min="6" max="6" width="13.7109375" customWidth="1"/>
    <col min="7" max="7" width="10.7109375" customWidth="1"/>
    <col min="8" max="8" width="9.7109375" customWidth="1"/>
    <col min="9" max="9" width="12.7109375" customWidth="1"/>
    <col min="10" max="10" width="11.7109375" customWidth="1"/>
    <col min="11" max="11" width="18.7109375" customWidth="1"/>
    <col min="12" max="12" width="16.7109375" customWidth="1"/>
    <col min="13" max="13" width="12.7109375" customWidth="1"/>
    <col min="14" max="14" width="26.7109375" customWidth="1"/>
    <col min="15" max="15" width="8.7109375" hidden="1" customWidth="1"/>
  </cols>
  <sheetData>
    <row r="1" spans="2:15" ht="34" customHeight="1">
      <c r="B1" s="1" t="s">
        <v>118</v>
      </c>
      <c r="C1" s="1"/>
      <c r="D1" s="1"/>
      <c r="E1" s="1"/>
      <c r="F1" s="1"/>
      <c r="G1" s="1"/>
      <c r="H1" s="1"/>
    </row>
    <row r="2" spans="2:15">
      <c r="B2" s="2" t="s">
        <v>119</v>
      </c>
    </row>
    <row r="4" spans="2:15">
      <c r="B4" s="3" t="s">
        <v>86</v>
      </c>
      <c r="C4" s="3"/>
      <c r="D4" s="4">
        <f>TODAY()</f>
        <v>0</v>
      </c>
      <c r="E4" s="4"/>
      <c r="F4" s="3" t="s">
        <v>43</v>
      </c>
      <c r="G4" s="7"/>
      <c r="H4" s="7"/>
    </row>
    <row r="5" spans="2:15">
      <c r="B5" s="3" t="s">
        <v>70</v>
      </c>
      <c r="C5" s="3"/>
      <c r="D5" s="7"/>
      <c r="E5" s="7"/>
      <c r="F5" s="3" t="s">
        <v>47</v>
      </c>
      <c r="G5" s="7"/>
      <c r="H5" s="7"/>
    </row>
    <row r="6" spans="2:15">
      <c r="B6" s="3" t="s">
        <v>4</v>
      </c>
      <c r="C6" s="3"/>
      <c r="D6" s="7"/>
      <c r="E6" s="7"/>
      <c r="F6" s="3" t="s">
        <v>120</v>
      </c>
      <c r="G6" s="7"/>
      <c r="H6" s="7"/>
    </row>
    <row r="7" spans="2:15">
      <c r="B7" s="3" t="s">
        <v>90</v>
      </c>
      <c r="C7" s="3"/>
      <c r="D7" s="16"/>
      <c r="E7" s="16"/>
      <c r="F7" s="19"/>
      <c r="G7" s="19"/>
      <c r="H7" s="19"/>
    </row>
    <row r="8" spans="2:15">
      <c r="B8" s="3" t="s">
        <v>92</v>
      </c>
      <c r="C8" s="3"/>
      <c r="D8" s="7"/>
      <c r="E8" s="7"/>
      <c r="F8" s="7"/>
      <c r="G8" s="7"/>
      <c r="H8" s="7"/>
    </row>
    <row r="9" spans="2:15">
      <c r="B9" s="3" t="s">
        <v>93</v>
      </c>
      <c r="C9" s="3"/>
      <c r="D9" s="18">
        <f>IF(OR(sprProducto="",sprCantidad=""),"Elige producto, presentación y cantidad",IF((sprCantidad*IF(SUMIFS(tblEquivalencias[Factor],tblEquivalencias[Artículo],sprProducto,tblEquivalencias[Presentación],sprPresentacion)&gt;0,SUMIFS(tblEquivalencias[Factor],tblEquivalencias[Artículo],sprProducto,tblEquivalencias[Presentación],sprPresentacion),1))=INT(sprCantidad*IF(SUMIFS(tblEquivalencias[Factor],tblEquivalencias[Artículo],sprProducto,tblEquivalencias[Presentación],sprPresentacion)&gt;0,SUMIFS(tblEquivalencias[Factor],tblEquivalencias[Artículo],sprProducto,tblEquivalencias[Presentación],sprPresentacion),1)),FIXED(sprCantidad*IF(SUMIFS(tblEquivalencias[Factor],tblEquivalencias[Artículo],sprProducto,tblEquivalencias[Presentación],sprPresentacion)&gt;0,SUMIFS(tblEquivalencias[Factor],tblEquivalencias[Artículo],sprProducto,tblEquivalencias[Presentación],sprPresentacion),1),0),FIXED(sprCantidad*IF(SUMIFS(tblEquivalencias[Factor],tblEquivalencias[Artículo],sprProducto,tblEquivalencias[Presentación],sprPresentacion)&gt;0,SUMIFS(tblEquivalencias[Factor],tblEquivalencias[Artículo],sprProducto,tblEquivalencias[Presentación],sprPresentacion),1),3))&amp;" "&amp;IFERROR(INDEX(tblProductos[Unidad base],MATCH(sprProducto,tblProductos[Producto],0)),"")&amp;"  ·  stock actual: "&amp;IF((IFERROR(INDEX(tblProductos[Stock],MATCH(sprProducto,tblProductos[Producto],0)),0))=INT(IFERROR(INDEX(tblProductos[Stock],MATCH(sprProducto,tblProductos[Producto],0)),0)),FIXED(IFERROR(INDEX(tblProductos[Stock],MATCH(sprProducto,tblProductos[Producto],0)),0),0),FIXED(IFERROR(INDEX(tblProductos[Stock],MATCH(sprProducto,tblProductos[Producto],0)),0),3)))</f>
        <v>0</v>
      </c>
      <c r="E9" s="18"/>
      <c r="F9" s="18"/>
      <c r="G9" s="18"/>
      <c r="H9" s="18"/>
    </row>
    <row r="10" spans="2:15">
      <c r="B10" s="19"/>
      <c r="C10" s="19"/>
      <c r="D10" s="20"/>
      <c r="E10" s="20"/>
      <c r="F10" s="20"/>
      <c r="G10" s="20"/>
      <c r="H10" s="20"/>
    </row>
    <row r="13" spans="2:15" ht="28" customHeight="1">
      <c r="B13" s="6" t="s">
        <v>95</v>
      </c>
      <c r="C13" s="6"/>
      <c r="D13" s="6"/>
      <c r="E13" s="6"/>
      <c r="F13" s="6"/>
      <c r="G13" s="6"/>
      <c r="H13" s="6"/>
      <c r="I13" s="6"/>
      <c r="J13" s="6"/>
    </row>
    <row r="15" spans="2:15">
      <c r="B15" t="s">
        <v>96</v>
      </c>
      <c r="C15" t="s">
        <v>86</v>
      </c>
      <c r="D15" t="s">
        <v>121</v>
      </c>
      <c r="E15" t="s">
        <v>70</v>
      </c>
      <c r="F15" t="s">
        <v>4</v>
      </c>
      <c r="G15" t="s">
        <v>90</v>
      </c>
      <c r="H15" t="s">
        <v>5</v>
      </c>
      <c r="I15" t="s">
        <v>98</v>
      </c>
      <c r="J15" t="s">
        <v>6</v>
      </c>
      <c r="K15" t="s">
        <v>43</v>
      </c>
      <c r="L15" t="s">
        <v>47</v>
      </c>
      <c r="M15" t="s">
        <v>120</v>
      </c>
      <c r="N15" t="s">
        <v>101</v>
      </c>
      <c r="O15" t="s">
        <v>102</v>
      </c>
    </row>
    <row r="16" spans="2:15">
      <c r="B16" s="21"/>
      <c r="C16" s="22"/>
      <c r="D16" s="23"/>
      <c r="E16" s="23"/>
      <c r="F16" s="23"/>
      <c r="G16" s="21"/>
      <c r="H16" s="21">
        <f>IF(tblSalidasProd[[#This Row],[Factor registrado]]&gt;0,tblSalidasProd[[#This Row],[Factor registrado]],IF(SUMIFS(tblEquivalencias[Factor],tblEquivalencias[Artículo],tblSalidasProd[[#This Row],[Producto]],tblEquivalencias[Presentación],tblSalidasProd[[#This Row],[Presentación]])&gt;0,SUMIFS(tblEquivalencias[Factor],tblEquivalencias[Artículo],tblSalidasProd[[#This Row],[Producto]],tblEquivalencias[Presentación],tblSalidasProd[[#This Row],[Presentación]]),1))</f>
        <v>0</v>
      </c>
      <c r="I16" s="21">
        <f>tblSalidasProd[[#This Row],[Cantidad]]*tblSalidasProd[[#This Row],[Factor]]</f>
        <v>0</v>
      </c>
      <c r="J16">
        <f>IFERROR(INDEX(tblProductos[Unidad base],MATCH(tblSalidasProd[[#This Row],[Producto]],tblProductos[Producto],0)),"")</f>
        <v>0</v>
      </c>
      <c r="K16" s="23"/>
      <c r="L16" s="23"/>
      <c r="M16" s="23"/>
      <c r="N16" s="23"/>
      <c r="O16" s="21"/>
    </row>
  </sheetData>
  <mergeCells count="18">
    <mergeCell ref="B1:H1"/>
    <mergeCell ref="B4:C4"/>
    <mergeCell ref="D4:E4"/>
    <mergeCell ref="G4:H4"/>
    <mergeCell ref="B5:C5"/>
    <mergeCell ref="D5:E5"/>
    <mergeCell ref="G5:H5"/>
    <mergeCell ref="B6:C6"/>
    <mergeCell ref="D6:E6"/>
    <mergeCell ref="G6:H6"/>
    <mergeCell ref="B7:C7"/>
    <mergeCell ref="D7:E7"/>
    <mergeCell ref="B8:C8"/>
    <mergeCell ref="D8:H8"/>
    <mergeCell ref="B9:C9"/>
    <mergeCell ref="D9:H9"/>
    <mergeCell ref="D10:H10"/>
    <mergeCell ref="B13:J13"/>
  </mergeCells>
  <dataValidations count="12">
    <dataValidation type="date" allowBlank="1" showInputMessage="1" showErrorMessage="1" error="Escribe una fecha válida (dd/mm/aaaa)." sqref="D4">
      <formula1>36526</formula1>
      <formula2>73415</formula2>
    </dataValidation>
    <dataValidation type="list" errorStyle="information" allowBlank="1" showInputMessage="1" showErrorMessage="1" errorTitle="PanControl" error="Ese valor no está en la lista. Si es correcto, pulsa Aceptar." sqref="G4">
      <formula1>lstDestinos</formula1>
    </dataValidation>
    <dataValidation type="list" allowBlank="1" showInputMessage="1" showErrorMessage="1" sqref="D5">
      <formula1>lstProductos</formula1>
    </dataValidation>
    <dataValidation type="list" errorStyle="information" allowBlank="1" showInputMessage="1" showErrorMessage="1" errorTitle="PanControl" error="Ese valor no está en la lista. Si es correcto, pulsa Aceptar." sqref="G5">
      <formula1>lstEncargados</formula1>
    </dataValidation>
    <dataValidation type="list" errorStyle="information" allowBlank="1" showInputMessage="1" showErrorMessage="1" errorTitle="PanControl" error="Ese valor no está en la lista. Si es correcto, pulsa Aceptar." sqref="D6">
      <formula1>lstUnidades</formula1>
    </dataValidation>
    <dataValidation type="decimal" operator="greaterThanOrEqual" allowBlank="1" showInputMessage="1" showErrorMessage="1" error="Escribe un número (0 o más)." sqref="D7">
      <formula1>0</formula1>
    </dataValidation>
    <dataValidation type="date" operator="greaterThan" allowBlank="1" showInputMessage="1" showErrorMessage="1" sqref="C16:C3015">
      <formula1>36526</formula1>
    </dataValidation>
    <dataValidation type="list" allowBlank="1" showInputMessage="1" showErrorMessage="1" sqref="D16:D3015">
      <formula1>Panes,Pasteles</formula1>
    </dataValidation>
    <dataValidation type="list" allowBlank="1" showInputMessage="1" showErrorMessage="1" sqref="E16:E3015">
      <formula1>lstProductos</formula1>
    </dataValidation>
    <dataValidation type="list" errorStyle="information" allowBlank="1" showInputMessage="1" showErrorMessage="1" error="Esa presentación no está en la lista de Catálogos. Si es correcta, pulsa Aceptar." sqref="F16:F3015">
      <formula1>lstUnidades</formula1>
    </dataValidation>
    <dataValidation type="list" errorStyle="information" allowBlank="1" showInputMessage="1" showErrorMessage="1" sqref="K16:K3015">
      <formula1>lstDestinos</formula1>
    </dataValidation>
    <dataValidation type="list" errorStyle="information" allowBlank="1" showInputMessage="1" showErrorMessage="1" sqref="L16:L3015">
      <formula1>lstEncargados</formula1>
    </dataValidation>
  </dataValidations>
  <pageMargins left="0.4" right="0.4" top="0.5" bottom="0.5" header="0.3" footer="0.3"/>
  <pageSetup paperSize="9" fitToHeight="0" orientation="landscape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Insumos">
    <tabColor rgb="FFC8920A"/>
    <pageSetUpPr fitToPage="1"/>
  </sheetPr>
  <dimension ref="A1:P12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/>
    </sheetView>
  </sheetViews>
  <sheetFormatPr defaultRowHeight="15"/>
  <cols>
    <col min="1" max="1" width="2.7109375" customWidth="1"/>
    <col min="2" max="2" width="26.7109375" customWidth="1"/>
    <col min="3" max="3" width="13.7109375" customWidth="1"/>
    <col min="4" max="4" width="12.7109375" customWidth="1"/>
    <col min="5" max="5" width="13.7109375" customWidth="1"/>
    <col min="6" max="6" width="10.7109375" customWidth="1"/>
    <col min="7" max="9" width="13.7109375" customWidth="1"/>
    <col min="10" max="10" width="16.7109375" customWidth="1"/>
    <col min="11" max="12" width="13.7109375" customWidth="1"/>
    <col min="13" max="16" width="6.7109375" hidden="1" customWidth="1"/>
  </cols>
  <sheetData>
    <row r="1" spans="2:16" ht="34" customHeight="1">
      <c r="B1" s="1" t="s">
        <v>49</v>
      </c>
      <c r="C1" s="1"/>
      <c r="D1" s="1"/>
      <c r="E1" s="1"/>
      <c r="F1" s="1"/>
      <c r="G1" s="1"/>
      <c r="H1" s="1"/>
    </row>
    <row r="2" spans="2:16">
      <c r="B2" s="2" t="s">
        <v>50</v>
      </c>
    </row>
    <row r="3" spans="2:16" ht="30" customHeight="1">
      <c r="B3" s="6" t="s">
        <v>51</v>
      </c>
      <c r="C3" s="6"/>
      <c r="D3" s="6"/>
      <c r="E3" s="6"/>
      <c r="F3" s="6"/>
      <c r="G3" s="6"/>
      <c r="H3" s="6"/>
      <c r="I3" s="6"/>
      <c r="J3" s="6"/>
      <c r="K3" s="6"/>
      <c r="L3" s="6"/>
    </row>
    <row r="5" spans="2:16">
      <c r="B5" t="s">
        <v>52</v>
      </c>
      <c r="C5" t="s">
        <v>6</v>
      </c>
      <c r="D5" t="s">
        <v>53</v>
      </c>
      <c r="E5" t="s">
        <v>54</v>
      </c>
      <c r="F5" t="s">
        <v>55</v>
      </c>
      <c r="G5" t="s">
        <v>56</v>
      </c>
      <c r="H5" t="s">
        <v>57</v>
      </c>
      <c r="I5" t="s">
        <v>58</v>
      </c>
      <c r="J5" t="s">
        <v>59</v>
      </c>
      <c r="K5" t="s">
        <v>60</v>
      </c>
      <c r="L5" t="s">
        <v>61</v>
      </c>
      <c r="M5" t="s">
        <v>62</v>
      </c>
      <c r="N5" t="s">
        <v>63</v>
      </c>
      <c r="O5" t="s">
        <v>64</v>
      </c>
      <c r="P5" t="s">
        <v>65</v>
      </c>
    </row>
    <row r="6" spans="2:16">
      <c r="B6" s="23" t="s">
        <v>8</v>
      </c>
      <c r="C6" s="23" t="s">
        <v>29</v>
      </c>
      <c r="D6" s="21">
        <v>100000</v>
      </c>
      <c r="E6" s="21">
        <v>0</v>
      </c>
      <c r="F6" s="21">
        <v>0</v>
      </c>
      <c r="G6" s="21">
        <f>SUMIFS(tblEntradas[Cant. base],tblEntradas[Insumo],tblInsumos[[#This Row],[Insumo]])</f>
        <v>0</v>
      </c>
      <c r="H6" s="21">
        <f>SUMIFS(tblSalidasIns[Cant. base],tblSalidasIns[Insumo],tblInsumos[[#This Row],[Insumo]])</f>
        <v>0</v>
      </c>
      <c r="I6" s="21">
        <f>tblInsumos[[#This Row],[Stock inicial]]+tblInsumos[[#This Row],[Entradas]]-tblInsumos[[#This Row],[Salidas]]+tblInsumos[[#This Row],[Ajuste]]</f>
        <v>0</v>
      </c>
      <c r="J6">
        <f>IF(tblInsumos[[#This Row],[Insumo]]="","",IF(AND(tblInsumos[[#This Row],[Mínimo]]&gt;0,tblInsumos[[#This Row],[Stock]]&lt;=tblInsumos[[#This Row],[Mínimo]]),"🔴 Bajo mínimo",IF(AND(tblInsumos[[#This Row],[Mínimo]]&gt;0,tblInsumos[[#This Row],[Stock]]&lt;=tblInsumos[[#This Row],[Mínimo]]*1.5),"🟡 Por reponer","🟢 OK")))</f>
        <v>0</v>
      </c>
      <c r="K6" s="21">
        <f>SUMIFS(tblEntradas[Cant. base],tblEntradas[Insumo],tblInsumos[[#This Row],[Insumo]],tblEntradas[Fecha],"&gt;="&amp;rngDesde,tblEntradas[Fecha],"&lt;="&amp;rngHasta)</f>
        <v>0</v>
      </c>
      <c r="L6" s="21">
        <f>SUMIFS(tblSalidasIns[Cant. base],tblSalidasIns[Insumo],tblInsumos[[#This Row],[Insumo]],tblSalidasIns[Fecha],"&gt;="&amp;rngDesde,tblSalidasIns[Fecha],"&lt;="&amp;rngHasta)</f>
        <v>0</v>
      </c>
      <c r="M6">
        <f>IF(AND(tblInsumos[[#This Row],[Insumo]]&lt;&gt;"",tblInsumos[[#This Row],[Ent. periodo]]+tblInsumos[[#This Row],[Sal. periodo]]&gt;0),1,0)</f>
        <v>0</v>
      </c>
      <c r="N6">
        <f>IF(tblInsumos[[#This Row],[Mov]]=1,SUM(INDEX(tblInsumos[Mov],1):tblInsumos[[#This Row],[Mov]]),"")</f>
        <v>0</v>
      </c>
      <c r="O6">
        <f>IF(AND(tblInsumos[[#This Row],[Insumo]]&lt;&gt;"",tblInsumos[[#This Row],[Mínimo]]&gt;0,tblInsumos[[#This Row],[Stock]]&lt;=tblInsumos[[#This Row],[Mínimo]]),1,0)</f>
        <v>0</v>
      </c>
      <c r="P6">
        <f>IF(tblInsumos[[#This Row],[Crit]]=1,SUM(INDEX(tblInsumos[Crit],1):tblInsumos[[#This Row],[Crit]]),"")</f>
        <v>0</v>
      </c>
    </row>
    <row r="7" spans="2:16">
      <c r="B7" s="23" t="s">
        <v>12</v>
      </c>
      <c r="C7" s="23" t="s">
        <v>29</v>
      </c>
      <c r="D7" s="21">
        <v>20000</v>
      </c>
      <c r="E7" s="21">
        <v>0</v>
      </c>
      <c r="F7" s="21">
        <v>0</v>
      </c>
      <c r="G7" s="21">
        <f>SUMIFS(tblEntradas[Cant. base],tblEntradas[Insumo],tblInsumos[[#This Row],[Insumo]])</f>
        <v>0</v>
      </c>
      <c r="H7" s="21">
        <f>SUMIFS(tblSalidasIns[Cant. base],tblSalidasIns[Insumo],tblInsumos[[#This Row],[Insumo]])</f>
        <v>0</v>
      </c>
      <c r="I7" s="21">
        <f>tblInsumos[[#This Row],[Stock inicial]]+tblInsumos[[#This Row],[Entradas]]-tblInsumos[[#This Row],[Salidas]]+tblInsumos[[#This Row],[Ajuste]]</f>
        <v>0</v>
      </c>
      <c r="J7">
        <f>IF(tblInsumos[[#This Row],[Insumo]]="","",IF(AND(tblInsumos[[#This Row],[Mínimo]]&gt;0,tblInsumos[[#This Row],[Stock]]&lt;=tblInsumos[[#This Row],[Mínimo]]),"🔴 Bajo mínimo",IF(AND(tblInsumos[[#This Row],[Mínimo]]&gt;0,tblInsumos[[#This Row],[Stock]]&lt;=tblInsumos[[#This Row],[Mínimo]]*1.5),"🟡 Por reponer","🟢 OK")))</f>
        <v>0</v>
      </c>
      <c r="K7" s="21">
        <f>SUMIFS(tblEntradas[Cant. base],tblEntradas[Insumo],tblInsumos[[#This Row],[Insumo]],tblEntradas[Fecha],"&gt;="&amp;rngDesde,tblEntradas[Fecha],"&lt;="&amp;rngHasta)</f>
        <v>0</v>
      </c>
      <c r="L7" s="21">
        <f>SUMIFS(tblSalidasIns[Cant. base],tblSalidasIns[Insumo],tblInsumos[[#This Row],[Insumo]],tblSalidasIns[Fecha],"&gt;="&amp;rngDesde,tblSalidasIns[Fecha],"&lt;="&amp;rngHasta)</f>
        <v>0</v>
      </c>
      <c r="M7">
        <f>IF(AND(tblInsumos[[#This Row],[Insumo]]&lt;&gt;"",tblInsumos[[#This Row],[Ent. periodo]]+tblInsumos[[#This Row],[Sal. periodo]]&gt;0),1,0)</f>
        <v>0</v>
      </c>
      <c r="N7">
        <f>IF(tblInsumos[[#This Row],[Mov]]=1,SUM(INDEX(tblInsumos[Mov],1):tblInsumos[[#This Row],[Mov]]),"")</f>
        <v>0</v>
      </c>
      <c r="O7">
        <f>IF(AND(tblInsumos[[#This Row],[Insumo]]&lt;&gt;"",tblInsumos[[#This Row],[Mínimo]]&gt;0,tblInsumos[[#This Row],[Stock]]&lt;=tblInsumos[[#This Row],[Mínimo]]),1,0)</f>
        <v>0</v>
      </c>
      <c r="P7">
        <f>IF(tblInsumos[[#This Row],[Crit]]=1,SUM(INDEX(tblInsumos[Crit],1):tblInsumos[[#This Row],[Crit]]),"")</f>
        <v>0</v>
      </c>
    </row>
    <row r="8" spans="2:16">
      <c r="B8" s="23" t="s">
        <v>13</v>
      </c>
      <c r="C8" s="23" t="s">
        <v>29</v>
      </c>
      <c r="D8" s="21">
        <v>1000</v>
      </c>
      <c r="E8" s="21">
        <v>0</v>
      </c>
      <c r="F8" s="21">
        <v>0</v>
      </c>
      <c r="G8" s="21">
        <f>SUMIFS(tblEntradas[Cant. base],tblEntradas[Insumo],tblInsumos[[#This Row],[Insumo]])</f>
        <v>0</v>
      </c>
      <c r="H8" s="21">
        <f>SUMIFS(tblSalidasIns[Cant. base],tblSalidasIns[Insumo],tblInsumos[[#This Row],[Insumo]])</f>
        <v>0</v>
      </c>
      <c r="I8" s="21">
        <f>tblInsumos[[#This Row],[Stock inicial]]+tblInsumos[[#This Row],[Entradas]]-tblInsumos[[#This Row],[Salidas]]+tblInsumos[[#This Row],[Ajuste]]</f>
        <v>0</v>
      </c>
      <c r="J8">
        <f>IF(tblInsumos[[#This Row],[Insumo]]="","",IF(AND(tblInsumos[[#This Row],[Mínimo]]&gt;0,tblInsumos[[#This Row],[Stock]]&lt;=tblInsumos[[#This Row],[Mínimo]]),"🔴 Bajo mínimo",IF(AND(tblInsumos[[#This Row],[Mínimo]]&gt;0,tblInsumos[[#This Row],[Stock]]&lt;=tblInsumos[[#This Row],[Mínimo]]*1.5),"🟡 Por reponer","🟢 OK")))</f>
        <v>0</v>
      </c>
      <c r="K8" s="21">
        <f>SUMIFS(tblEntradas[Cant. base],tblEntradas[Insumo],tblInsumos[[#This Row],[Insumo]],tblEntradas[Fecha],"&gt;="&amp;rngDesde,tblEntradas[Fecha],"&lt;="&amp;rngHasta)</f>
        <v>0</v>
      </c>
      <c r="L8" s="21">
        <f>SUMIFS(tblSalidasIns[Cant. base],tblSalidasIns[Insumo],tblInsumos[[#This Row],[Insumo]],tblSalidasIns[Fecha],"&gt;="&amp;rngDesde,tblSalidasIns[Fecha],"&lt;="&amp;rngHasta)</f>
        <v>0</v>
      </c>
      <c r="M8">
        <f>IF(AND(tblInsumos[[#This Row],[Insumo]]&lt;&gt;"",tblInsumos[[#This Row],[Ent. periodo]]+tblInsumos[[#This Row],[Sal. periodo]]&gt;0),1,0)</f>
        <v>0</v>
      </c>
      <c r="N8">
        <f>IF(tblInsumos[[#This Row],[Mov]]=1,SUM(INDEX(tblInsumos[Mov],1):tblInsumos[[#This Row],[Mov]]),"")</f>
        <v>0</v>
      </c>
      <c r="O8">
        <f>IF(AND(tblInsumos[[#This Row],[Insumo]]&lt;&gt;"",tblInsumos[[#This Row],[Mínimo]]&gt;0,tblInsumos[[#This Row],[Stock]]&lt;=tblInsumos[[#This Row],[Mínimo]]),1,0)</f>
        <v>0</v>
      </c>
      <c r="P8">
        <f>IF(tblInsumos[[#This Row],[Crit]]=1,SUM(INDEX(tblInsumos[Crit],1):tblInsumos[[#This Row],[Crit]]),"")</f>
        <v>0</v>
      </c>
    </row>
    <row r="9" spans="2:16">
      <c r="B9" s="23" t="s">
        <v>66</v>
      </c>
      <c r="C9" s="23" t="s">
        <v>29</v>
      </c>
      <c r="D9" s="21">
        <v>2000</v>
      </c>
      <c r="E9" s="21">
        <v>0</v>
      </c>
      <c r="F9" s="21">
        <v>0</v>
      </c>
      <c r="G9" s="21">
        <f>SUMIFS(tblEntradas[Cant. base],tblEntradas[Insumo],tblInsumos[[#This Row],[Insumo]])</f>
        <v>0</v>
      </c>
      <c r="H9" s="21">
        <f>SUMIFS(tblSalidasIns[Cant. base],tblSalidasIns[Insumo],tblInsumos[[#This Row],[Insumo]])</f>
        <v>0</v>
      </c>
      <c r="I9" s="21">
        <f>tblInsumos[[#This Row],[Stock inicial]]+tblInsumos[[#This Row],[Entradas]]-tblInsumos[[#This Row],[Salidas]]+tblInsumos[[#This Row],[Ajuste]]</f>
        <v>0</v>
      </c>
      <c r="J9">
        <f>IF(tblInsumos[[#This Row],[Insumo]]="","",IF(AND(tblInsumos[[#This Row],[Mínimo]]&gt;0,tblInsumos[[#This Row],[Stock]]&lt;=tblInsumos[[#This Row],[Mínimo]]),"🔴 Bajo mínimo",IF(AND(tblInsumos[[#This Row],[Mínimo]]&gt;0,tblInsumos[[#This Row],[Stock]]&lt;=tblInsumos[[#This Row],[Mínimo]]*1.5),"🟡 Por reponer","🟢 OK")))</f>
        <v>0</v>
      </c>
      <c r="K9" s="21">
        <f>SUMIFS(tblEntradas[Cant. base],tblEntradas[Insumo],tblInsumos[[#This Row],[Insumo]],tblEntradas[Fecha],"&gt;="&amp;rngDesde,tblEntradas[Fecha],"&lt;="&amp;rngHasta)</f>
        <v>0</v>
      </c>
      <c r="L9" s="21">
        <f>SUMIFS(tblSalidasIns[Cant. base],tblSalidasIns[Insumo],tblInsumos[[#This Row],[Insumo]],tblSalidasIns[Fecha],"&gt;="&amp;rngDesde,tblSalidasIns[Fecha],"&lt;="&amp;rngHasta)</f>
        <v>0</v>
      </c>
      <c r="M9">
        <f>IF(AND(tblInsumos[[#This Row],[Insumo]]&lt;&gt;"",tblInsumos[[#This Row],[Ent. periodo]]+tblInsumos[[#This Row],[Sal. periodo]]&gt;0),1,0)</f>
        <v>0</v>
      </c>
      <c r="N9">
        <f>IF(tblInsumos[[#This Row],[Mov]]=1,SUM(INDEX(tblInsumos[Mov],1):tblInsumos[[#This Row],[Mov]]),"")</f>
        <v>0</v>
      </c>
      <c r="O9">
        <f>IF(AND(tblInsumos[[#This Row],[Insumo]]&lt;&gt;"",tblInsumos[[#This Row],[Mínimo]]&gt;0,tblInsumos[[#This Row],[Stock]]&lt;=tblInsumos[[#This Row],[Mínimo]]),1,0)</f>
        <v>0</v>
      </c>
      <c r="P9">
        <f>IF(tblInsumos[[#This Row],[Crit]]=1,SUM(INDEX(tblInsumos[Crit],1):tblInsumos[[#This Row],[Crit]]),"")</f>
        <v>0</v>
      </c>
    </row>
    <row r="10" spans="2:16">
      <c r="B10" s="23" t="s">
        <v>16</v>
      </c>
      <c r="C10" s="23" t="s">
        <v>29</v>
      </c>
      <c r="D10" s="21">
        <v>5000</v>
      </c>
      <c r="E10" s="21">
        <v>0</v>
      </c>
      <c r="F10" s="21">
        <v>0</v>
      </c>
      <c r="G10" s="21">
        <f>SUMIFS(tblEntradas[Cant. base],tblEntradas[Insumo],tblInsumos[[#This Row],[Insumo]])</f>
        <v>0</v>
      </c>
      <c r="H10" s="21">
        <f>SUMIFS(tblSalidasIns[Cant. base],tblSalidasIns[Insumo],tblInsumos[[#This Row],[Insumo]])</f>
        <v>0</v>
      </c>
      <c r="I10" s="21">
        <f>tblInsumos[[#This Row],[Stock inicial]]+tblInsumos[[#This Row],[Entradas]]-tblInsumos[[#This Row],[Salidas]]+tblInsumos[[#This Row],[Ajuste]]</f>
        <v>0</v>
      </c>
      <c r="J10">
        <f>IF(tblInsumos[[#This Row],[Insumo]]="","",IF(AND(tblInsumos[[#This Row],[Mínimo]]&gt;0,tblInsumos[[#This Row],[Stock]]&lt;=tblInsumos[[#This Row],[Mínimo]]),"🔴 Bajo mínimo",IF(AND(tblInsumos[[#This Row],[Mínimo]]&gt;0,tblInsumos[[#This Row],[Stock]]&lt;=tblInsumos[[#This Row],[Mínimo]]*1.5),"🟡 Por reponer","🟢 OK")))</f>
        <v>0</v>
      </c>
      <c r="K10" s="21">
        <f>SUMIFS(tblEntradas[Cant. base],tblEntradas[Insumo],tblInsumos[[#This Row],[Insumo]],tblEntradas[Fecha],"&gt;="&amp;rngDesde,tblEntradas[Fecha],"&lt;="&amp;rngHasta)</f>
        <v>0</v>
      </c>
      <c r="L10" s="21">
        <f>SUMIFS(tblSalidasIns[Cant. base],tblSalidasIns[Insumo],tblInsumos[[#This Row],[Insumo]],tblSalidasIns[Fecha],"&gt;="&amp;rngDesde,tblSalidasIns[Fecha],"&lt;="&amp;rngHasta)</f>
        <v>0</v>
      </c>
      <c r="M10">
        <f>IF(AND(tblInsumos[[#This Row],[Insumo]]&lt;&gt;"",tblInsumos[[#This Row],[Ent. periodo]]+tblInsumos[[#This Row],[Sal. periodo]]&gt;0),1,0)</f>
        <v>0</v>
      </c>
      <c r="N10">
        <f>IF(tblInsumos[[#This Row],[Mov]]=1,SUM(INDEX(tblInsumos[Mov],1):tblInsumos[[#This Row],[Mov]]),"")</f>
        <v>0</v>
      </c>
      <c r="O10">
        <f>IF(AND(tblInsumos[[#This Row],[Insumo]]&lt;&gt;"",tblInsumos[[#This Row],[Mínimo]]&gt;0,tblInsumos[[#This Row],[Stock]]&lt;=tblInsumos[[#This Row],[Mínimo]]),1,0)</f>
        <v>0</v>
      </c>
      <c r="P10">
        <f>IF(tblInsumos[[#This Row],[Crit]]=1,SUM(INDEX(tblInsumos[Crit],1):tblInsumos[[#This Row],[Crit]]),"")</f>
        <v>0</v>
      </c>
    </row>
    <row r="11" spans="2:16">
      <c r="B11" s="23" t="s">
        <v>17</v>
      </c>
      <c r="C11" s="23" t="s">
        <v>26</v>
      </c>
      <c r="D11" s="21">
        <v>60</v>
      </c>
      <c r="E11" s="21">
        <v>0</v>
      </c>
      <c r="F11" s="21">
        <v>0</v>
      </c>
      <c r="G11" s="21">
        <f>SUMIFS(tblEntradas[Cant. base],tblEntradas[Insumo],tblInsumos[[#This Row],[Insumo]])</f>
        <v>0</v>
      </c>
      <c r="H11" s="21">
        <f>SUMIFS(tblSalidasIns[Cant. base],tblSalidasIns[Insumo],tblInsumos[[#This Row],[Insumo]])</f>
        <v>0</v>
      </c>
      <c r="I11" s="21">
        <f>tblInsumos[[#This Row],[Stock inicial]]+tblInsumos[[#This Row],[Entradas]]-tblInsumos[[#This Row],[Salidas]]+tblInsumos[[#This Row],[Ajuste]]</f>
        <v>0</v>
      </c>
      <c r="J11">
        <f>IF(tblInsumos[[#This Row],[Insumo]]="","",IF(AND(tblInsumos[[#This Row],[Mínimo]]&gt;0,tblInsumos[[#This Row],[Stock]]&lt;=tblInsumos[[#This Row],[Mínimo]]),"🔴 Bajo mínimo",IF(AND(tblInsumos[[#This Row],[Mínimo]]&gt;0,tblInsumos[[#This Row],[Stock]]&lt;=tblInsumos[[#This Row],[Mínimo]]*1.5),"🟡 Por reponer","🟢 OK")))</f>
        <v>0</v>
      </c>
      <c r="K11" s="21">
        <f>SUMIFS(tblEntradas[Cant. base],tblEntradas[Insumo],tblInsumos[[#This Row],[Insumo]],tblEntradas[Fecha],"&gt;="&amp;rngDesde,tblEntradas[Fecha],"&lt;="&amp;rngHasta)</f>
        <v>0</v>
      </c>
      <c r="L11" s="21">
        <f>SUMIFS(tblSalidasIns[Cant. base],tblSalidasIns[Insumo],tblInsumos[[#This Row],[Insumo]],tblSalidasIns[Fecha],"&gt;="&amp;rngDesde,tblSalidasIns[Fecha],"&lt;="&amp;rngHasta)</f>
        <v>0</v>
      </c>
      <c r="M11">
        <f>IF(AND(tblInsumos[[#This Row],[Insumo]]&lt;&gt;"",tblInsumos[[#This Row],[Ent. periodo]]+tblInsumos[[#This Row],[Sal. periodo]]&gt;0),1,0)</f>
        <v>0</v>
      </c>
      <c r="N11">
        <f>IF(tblInsumos[[#This Row],[Mov]]=1,SUM(INDEX(tblInsumos[Mov],1):tblInsumos[[#This Row],[Mov]]),"")</f>
        <v>0</v>
      </c>
      <c r="O11">
        <f>IF(AND(tblInsumos[[#This Row],[Insumo]]&lt;&gt;"",tblInsumos[[#This Row],[Mínimo]]&gt;0,tblInsumos[[#This Row],[Stock]]&lt;=tblInsumos[[#This Row],[Mínimo]]),1,0)</f>
        <v>0</v>
      </c>
      <c r="P11">
        <f>IF(tblInsumos[[#This Row],[Crit]]=1,SUM(INDEX(tblInsumos[Crit],1):tblInsumos[[#This Row],[Crit]]),"")</f>
        <v>0</v>
      </c>
    </row>
    <row r="12" spans="2:16">
      <c r="B12" s="23" t="s">
        <v>20</v>
      </c>
      <c r="C12" s="23" t="s">
        <v>31</v>
      </c>
      <c r="D12" s="21">
        <v>5000</v>
      </c>
      <c r="E12" s="21">
        <v>0</v>
      </c>
      <c r="F12" s="21">
        <v>0</v>
      </c>
      <c r="G12" s="21">
        <f>SUMIFS(tblEntradas[Cant. base],tblEntradas[Insumo],tblInsumos[[#This Row],[Insumo]])</f>
        <v>0</v>
      </c>
      <c r="H12" s="21">
        <f>SUMIFS(tblSalidasIns[Cant. base],tblSalidasIns[Insumo],tblInsumos[[#This Row],[Insumo]])</f>
        <v>0</v>
      </c>
      <c r="I12" s="21">
        <f>tblInsumos[[#This Row],[Stock inicial]]+tblInsumos[[#This Row],[Entradas]]-tblInsumos[[#This Row],[Salidas]]+tblInsumos[[#This Row],[Ajuste]]</f>
        <v>0</v>
      </c>
      <c r="J12">
        <f>IF(tblInsumos[[#This Row],[Insumo]]="","",IF(AND(tblInsumos[[#This Row],[Mínimo]]&gt;0,tblInsumos[[#This Row],[Stock]]&lt;=tblInsumos[[#This Row],[Mínimo]]),"🔴 Bajo mínimo",IF(AND(tblInsumos[[#This Row],[Mínimo]]&gt;0,tblInsumos[[#This Row],[Stock]]&lt;=tblInsumos[[#This Row],[Mínimo]]*1.5),"🟡 Por reponer","🟢 OK")))</f>
        <v>0</v>
      </c>
      <c r="K12" s="21">
        <f>SUMIFS(tblEntradas[Cant. base],tblEntradas[Insumo],tblInsumos[[#This Row],[Insumo]],tblEntradas[Fecha],"&gt;="&amp;rngDesde,tblEntradas[Fecha],"&lt;="&amp;rngHasta)</f>
        <v>0</v>
      </c>
      <c r="L12" s="21">
        <f>SUMIFS(tblSalidasIns[Cant. base],tblSalidasIns[Insumo],tblInsumos[[#This Row],[Insumo]],tblSalidasIns[Fecha],"&gt;="&amp;rngDesde,tblSalidasIns[Fecha],"&lt;="&amp;rngHasta)</f>
        <v>0</v>
      </c>
      <c r="M12">
        <f>IF(AND(tblInsumos[[#This Row],[Insumo]]&lt;&gt;"",tblInsumos[[#This Row],[Ent. periodo]]+tblInsumos[[#This Row],[Sal. periodo]]&gt;0),1,0)</f>
        <v>0</v>
      </c>
      <c r="N12">
        <f>IF(tblInsumos[[#This Row],[Mov]]=1,SUM(INDEX(tblInsumos[Mov],1):tblInsumos[[#This Row],[Mov]]),"")</f>
        <v>0</v>
      </c>
      <c r="O12">
        <f>IF(AND(tblInsumos[[#This Row],[Insumo]]&lt;&gt;"",tblInsumos[[#This Row],[Mínimo]]&gt;0,tblInsumos[[#This Row],[Stock]]&lt;=tblInsumos[[#This Row],[Mínimo]]),1,0)</f>
        <v>0</v>
      </c>
      <c r="P12">
        <f>IF(tblInsumos[[#This Row],[Crit]]=1,SUM(INDEX(tblInsumos[Crit],1):tblInsumos[[#This Row],[Crit]]),"")</f>
        <v>0</v>
      </c>
    </row>
  </sheetData>
  <mergeCells count="2">
    <mergeCell ref="B1:H1"/>
    <mergeCell ref="B3:L3"/>
  </mergeCells>
  <pageMargins left="0.4" right="0.4" top="0.5" bottom="0.5" header="0.3" footer="0.3"/>
  <pageSetup paperSize="9" fitToHeight="0" orientation="landscape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Productos">
    <tabColor rgb="FFC8920A"/>
    <pageSetUpPr fitToPage="1"/>
  </sheetPr>
  <dimension ref="A1:P9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/>
    </sheetView>
  </sheetViews>
  <sheetFormatPr defaultRowHeight="15"/>
  <cols>
    <col min="1" max="1" width="2.7109375" customWidth="1"/>
    <col min="2" max="2" width="26.7109375" customWidth="1"/>
    <col min="3" max="3" width="10.7109375" customWidth="1"/>
    <col min="4" max="6" width="13.7109375" customWidth="1"/>
    <col min="7" max="7" width="10.7109375" customWidth="1"/>
    <col min="8" max="10" width="13.7109375" customWidth="1"/>
    <col min="11" max="11" width="14.7109375" customWidth="1"/>
    <col min="12" max="12" width="13.7109375" customWidth="1"/>
    <col min="13" max="16" width="6.7109375" hidden="1" customWidth="1"/>
  </cols>
  <sheetData>
    <row r="1" spans="2:16" ht="34" customHeight="1">
      <c r="B1" s="1" t="s">
        <v>67</v>
      </c>
      <c r="C1" s="1"/>
      <c r="D1" s="1"/>
      <c r="E1" s="1"/>
      <c r="F1" s="1"/>
      <c r="G1" s="1"/>
      <c r="H1" s="1"/>
    </row>
    <row r="2" spans="2:16">
      <c r="B2" s="2" t="s">
        <v>68</v>
      </c>
    </row>
    <row r="3" spans="2:16" ht="30" customHeight="1">
      <c r="B3" s="6" t="s">
        <v>69</v>
      </c>
      <c r="C3" s="6"/>
      <c r="D3" s="6"/>
      <c r="E3" s="6"/>
      <c r="F3" s="6"/>
      <c r="G3" s="6"/>
      <c r="H3" s="6"/>
      <c r="I3" s="6"/>
      <c r="J3" s="6"/>
      <c r="K3" s="6"/>
      <c r="L3" s="6"/>
    </row>
    <row r="5" spans="2:16">
      <c r="B5" t="s">
        <v>70</v>
      </c>
      <c r="C5" t="s">
        <v>71</v>
      </c>
      <c r="D5" t="s">
        <v>6</v>
      </c>
      <c r="E5" t="s">
        <v>72</v>
      </c>
      <c r="F5" t="s">
        <v>54</v>
      </c>
      <c r="G5" t="s">
        <v>55</v>
      </c>
      <c r="H5" t="s">
        <v>73</v>
      </c>
      <c r="I5" t="s">
        <v>57</v>
      </c>
      <c r="J5" t="s">
        <v>58</v>
      </c>
      <c r="K5" t="s">
        <v>74</v>
      </c>
      <c r="L5" t="s">
        <v>61</v>
      </c>
      <c r="M5" t="s">
        <v>75</v>
      </c>
      <c r="N5" t="s">
        <v>76</v>
      </c>
      <c r="O5" t="s">
        <v>77</v>
      </c>
      <c r="P5" t="s">
        <v>78</v>
      </c>
    </row>
    <row r="6" spans="2:16">
      <c r="B6" s="23" t="s">
        <v>22</v>
      </c>
      <c r="C6" s="23" t="s">
        <v>79</v>
      </c>
      <c r="D6" s="23" t="s">
        <v>26</v>
      </c>
      <c r="E6" s="21">
        <v>1400</v>
      </c>
      <c r="F6" s="21">
        <v>0</v>
      </c>
      <c r="G6" s="21">
        <v>0</v>
      </c>
      <c r="H6" s="21">
        <f>SUMIFS(tblProduccion[Neto],tblProduccion[Producto],tblProductos[[#This Row],[Producto]])</f>
        <v>0</v>
      </c>
      <c r="I6" s="21">
        <f>SUMIFS(tblSalidasProd[Cant. base],tblSalidasProd[Producto],tblProductos[[#This Row],[Producto]])</f>
        <v>0</v>
      </c>
      <c r="J6" s="21">
        <f>tblProductos[[#This Row],[Stock inicial]]+tblProductos[[#This Row],[Producido]]-tblProductos[[#This Row],[Salidas]]+tblProductos[[#This Row],[Ajuste]]</f>
        <v>0</v>
      </c>
      <c r="K6" s="21">
        <f>SUMIFS(tblProduccion[Neto],tblProduccion[Producto],tblProductos[[#This Row],[Producto]],tblProduccion[Fecha],"&gt;="&amp;rngDesde,tblProduccion[Fecha],"&lt;="&amp;rngHasta)</f>
        <v>0</v>
      </c>
      <c r="L6" s="21">
        <f>SUMIFS(tblSalidasProd[Cant. base],tblSalidasProd[Producto],tblProductos[[#This Row],[Producto]],tblSalidasProd[Fecha],"&gt;="&amp;rngDesde,tblSalidasProd[Fecha],"&lt;="&amp;rngHasta)</f>
        <v>0</v>
      </c>
      <c r="M6">
        <f>IF(AND(tblProductos[[#This Row],[Producto]]&lt;&gt;"",tblProductos[[#This Row],[Prod. periodo]]&lt;&gt;0),1,0)</f>
        <v>0</v>
      </c>
      <c r="N6">
        <f>IF(tblProductos[[#This Row],[ProdF]]=1,SUM(INDEX(tblProductos[ProdF],1):tblProductos[[#This Row],[ProdF]]),"")</f>
        <v>0</v>
      </c>
      <c r="O6">
        <f>IF(AND(tblProductos[[#This Row],[Producto]]&lt;&gt;"",tblProductos[[#This Row],[Sal. periodo]]&lt;&gt;0),1,0)</f>
        <v>0</v>
      </c>
      <c r="P6">
        <f>IF(tblProductos[[#This Row],[SalF]]=1,SUM(INDEX(tblProductos[SalF],1):tblProductos[[#This Row],[SalF]]),"")</f>
        <v>0</v>
      </c>
    </row>
    <row r="7" spans="2:16">
      <c r="B7" s="23" t="s">
        <v>80</v>
      </c>
      <c r="C7" s="23" t="s">
        <v>79</v>
      </c>
      <c r="D7" s="23" t="s">
        <v>26</v>
      </c>
      <c r="E7" s="21">
        <v>60</v>
      </c>
      <c r="F7" s="21">
        <v>0</v>
      </c>
      <c r="G7" s="21">
        <v>0</v>
      </c>
      <c r="H7" s="21">
        <f>SUMIFS(tblProduccion[Neto],tblProduccion[Producto],tblProductos[[#This Row],[Producto]])</f>
        <v>0</v>
      </c>
      <c r="I7" s="21">
        <f>SUMIFS(tblSalidasProd[Cant. base],tblSalidasProd[Producto],tblProductos[[#This Row],[Producto]])</f>
        <v>0</v>
      </c>
      <c r="J7" s="21">
        <f>tblProductos[[#This Row],[Stock inicial]]+tblProductos[[#This Row],[Producido]]-tblProductos[[#This Row],[Salidas]]+tblProductos[[#This Row],[Ajuste]]</f>
        <v>0</v>
      </c>
      <c r="K7" s="21">
        <f>SUMIFS(tblProduccion[Neto],tblProduccion[Producto],tblProductos[[#This Row],[Producto]],tblProduccion[Fecha],"&gt;="&amp;rngDesde,tblProduccion[Fecha],"&lt;="&amp;rngHasta)</f>
        <v>0</v>
      </c>
      <c r="L7" s="21">
        <f>SUMIFS(tblSalidasProd[Cant. base],tblSalidasProd[Producto],tblProductos[[#This Row],[Producto]],tblSalidasProd[Fecha],"&gt;="&amp;rngDesde,tblSalidasProd[Fecha],"&lt;="&amp;rngHasta)</f>
        <v>0</v>
      </c>
      <c r="M7">
        <f>IF(AND(tblProductos[[#This Row],[Producto]]&lt;&gt;"",tblProductos[[#This Row],[Prod. periodo]]&lt;&gt;0),1,0)</f>
        <v>0</v>
      </c>
      <c r="N7">
        <f>IF(tblProductos[[#This Row],[ProdF]]=1,SUM(INDEX(tblProductos[ProdF],1):tblProductos[[#This Row],[ProdF]]),"")</f>
        <v>0</v>
      </c>
      <c r="O7">
        <f>IF(AND(tblProductos[[#This Row],[Producto]]&lt;&gt;"",tblProductos[[#This Row],[Sal. periodo]]&lt;&gt;0),1,0)</f>
        <v>0</v>
      </c>
      <c r="P7">
        <f>IF(tblProductos[[#This Row],[SalF]]=1,SUM(INDEX(tblProductos[SalF],1):tblProductos[[#This Row],[SalF]]),"")</f>
        <v>0</v>
      </c>
    </row>
    <row r="8" spans="2:16">
      <c r="B8" s="23" t="s">
        <v>81</v>
      </c>
      <c r="C8" s="23" t="s">
        <v>82</v>
      </c>
      <c r="D8" s="23" t="s">
        <v>26</v>
      </c>
      <c r="E8" s="21">
        <v>1</v>
      </c>
      <c r="F8" s="21">
        <v>0</v>
      </c>
      <c r="G8" s="21">
        <v>0</v>
      </c>
      <c r="H8" s="21">
        <f>SUMIFS(tblProduccion[Neto],tblProduccion[Producto],tblProductos[[#This Row],[Producto]])</f>
        <v>0</v>
      </c>
      <c r="I8" s="21">
        <f>SUMIFS(tblSalidasProd[Cant. base],tblSalidasProd[Producto],tblProductos[[#This Row],[Producto]])</f>
        <v>0</v>
      </c>
      <c r="J8" s="21">
        <f>tblProductos[[#This Row],[Stock inicial]]+tblProductos[[#This Row],[Producido]]-tblProductos[[#This Row],[Salidas]]+tblProductos[[#This Row],[Ajuste]]</f>
        <v>0</v>
      </c>
      <c r="K8" s="21">
        <f>SUMIFS(tblProduccion[Neto],tblProduccion[Producto],tblProductos[[#This Row],[Producto]],tblProduccion[Fecha],"&gt;="&amp;rngDesde,tblProduccion[Fecha],"&lt;="&amp;rngHasta)</f>
        <v>0</v>
      </c>
      <c r="L8" s="21">
        <f>SUMIFS(tblSalidasProd[Cant. base],tblSalidasProd[Producto],tblProductos[[#This Row],[Producto]],tblSalidasProd[Fecha],"&gt;="&amp;rngDesde,tblSalidasProd[Fecha],"&lt;="&amp;rngHasta)</f>
        <v>0</v>
      </c>
      <c r="M8">
        <f>IF(AND(tblProductos[[#This Row],[Producto]]&lt;&gt;"",tblProductos[[#This Row],[Prod. periodo]]&lt;&gt;0),1,0)</f>
        <v>0</v>
      </c>
      <c r="N8">
        <f>IF(tblProductos[[#This Row],[ProdF]]=1,SUM(INDEX(tblProductos[ProdF],1):tblProductos[[#This Row],[ProdF]]),"")</f>
        <v>0</v>
      </c>
      <c r="O8">
        <f>IF(AND(tblProductos[[#This Row],[Producto]]&lt;&gt;"",tblProductos[[#This Row],[Sal. periodo]]&lt;&gt;0),1,0)</f>
        <v>0</v>
      </c>
      <c r="P8">
        <f>IF(tblProductos[[#This Row],[SalF]]=1,SUM(INDEX(tblProductos[SalF],1):tblProductos[[#This Row],[SalF]]),"")</f>
        <v>0</v>
      </c>
    </row>
    <row r="9" spans="2:16">
      <c r="B9" s="23" t="s">
        <v>83</v>
      </c>
      <c r="C9" s="23" t="s">
        <v>82</v>
      </c>
      <c r="D9" s="23" t="s">
        <v>26</v>
      </c>
      <c r="E9" s="21">
        <v>24</v>
      </c>
      <c r="F9" s="21">
        <v>0</v>
      </c>
      <c r="G9" s="21">
        <v>0</v>
      </c>
      <c r="H9" s="21">
        <f>SUMIFS(tblProduccion[Neto],tblProduccion[Producto],tblProductos[[#This Row],[Producto]])</f>
        <v>0</v>
      </c>
      <c r="I9" s="21">
        <f>SUMIFS(tblSalidasProd[Cant. base],tblSalidasProd[Producto],tblProductos[[#This Row],[Producto]])</f>
        <v>0</v>
      </c>
      <c r="J9" s="21">
        <f>tblProductos[[#This Row],[Stock inicial]]+tblProductos[[#This Row],[Producido]]-tblProductos[[#This Row],[Salidas]]+tblProductos[[#This Row],[Ajuste]]</f>
        <v>0</v>
      </c>
      <c r="K9" s="21">
        <f>SUMIFS(tblProduccion[Neto],tblProduccion[Producto],tblProductos[[#This Row],[Producto]],tblProduccion[Fecha],"&gt;="&amp;rngDesde,tblProduccion[Fecha],"&lt;="&amp;rngHasta)</f>
        <v>0</v>
      </c>
      <c r="L9" s="21">
        <f>SUMIFS(tblSalidasProd[Cant. base],tblSalidasProd[Producto],tblProductos[[#This Row],[Producto]],tblSalidasProd[Fecha],"&gt;="&amp;rngDesde,tblSalidasProd[Fecha],"&lt;="&amp;rngHasta)</f>
        <v>0</v>
      </c>
      <c r="M9">
        <f>IF(AND(tblProductos[[#This Row],[Producto]]&lt;&gt;"",tblProductos[[#This Row],[Prod. periodo]]&lt;&gt;0),1,0)</f>
        <v>0</v>
      </c>
      <c r="N9">
        <f>IF(tblProductos[[#This Row],[ProdF]]=1,SUM(INDEX(tblProductos[ProdF],1):tblProductos[[#This Row],[ProdF]]),"")</f>
        <v>0</v>
      </c>
      <c r="O9">
        <f>IF(AND(tblProductos[[#This Row],[Producto]]&lt;&gt;"",tblProductos[[#This Row],[Sal. periodo]]&lt;&gt;0),1,0)</f>
        <v>0</v>
      </c>
      <c r="P9">
        <f>IF(tblProductos[[#This Row],[SalF]]=1,SUM(INDEX(tblProductos[SalF],1):tblProductos[[#This Row],[SalF]]),"")</f>
        <v>0</v>
      </c>
    </row>
  </sheetData>
  <mergeCells count="2">
    <mergeCell ref="B1:H1"/>
    <mergeCell ref="B3:L3"/>
  </mergeCells>
  <dataValidations count="1">
    <dataValidation type="list" allowBlank="1" showInputMessage="1" showErrorMessage="1" sqref="C6:C3006">
      <formula1>Pan,Pastel</formula1>
    </dataValidation>
  </dataValidations>
  <pageMargins left="0.4" right="0.4" top="0.5" bottom="0.5" header="0.3" footer="0.3"/>
  <pageSetup paperSize="9" fitToHeight="0" orientation="landscape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Catalogos">
    <tabColor rgb="FF7A6E68"/>
    <pageSetUpPr fitToPage="1"/>
  </sheetPr>
  <dimension ref="A1:M29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16.7109375" customWidth="1"/>
    <col min="4" max="4" width="12.7109375" customWidth="1"/>
    <col min="5" max="5" width="14.7109375" customWidth="1"/>
    <col min="6" max="6" width="26.7109375" customWidth="1"/>
    <col min="8" max="8" width="3.7109375" customWidth="1"/>
    <col min="9" max="9" width="18.7109375" customWidth="1"/>
    <col min="10" max="10" width="3.7109375" customWidth="1"/>
    <col min="11" max="11" width="22.7109375" customWidth="1"/>
    <col min="12" max="12" width="3.7109375" customWidth="1"/>
    <col min="13" max="13" width="22.7109375" customWidth="1"/>
  </cols>
  <sheetData>
    <row r="1" spans="2:13" ht="34" customHeight="1">
      <c r="B1" s="1" t="s">
        <v>0</v>
      </c>
      <c r="C1" s="1"/>
      <c r="D1" s="1"/>
      <c r="E1" s="1"/>
      <c r="F1" s="1"/>
      <c r="G1" s="1"/>
      <c r="H1" s="1"/>
    </row>
    <row r="2" spans="2:13">
      <c r="B2" s="2" t="s">
        <v>1</v>
      </c>
    </row>
    <row r="3" spans="2:13" ht="30" customHeight="1">
      <c r="B3" s="6" t="s">
        <v>2</v>
      </c>
      <c r="C3" s="6"/>
      <c r="D3" s="6"/>
      <c r="E3" s="6"/>
      <c r="F3" s="6"/>
      <c r="G3" s="6"/>
      <c r="H3" s="6"/>
    </row>
    <row r="4" spans="2:13">
      <c r="B4" s="6"/>
      <c r="C4" s="6"/>
      <c r="D4" s="6"/>
      <c r="E4" s="6"/>
      <c r="F4" s="6"/>
      <c r="G4" s="6"/>
      <c r="H4" s="6"/>
    </row>
    <row r="6" spans="2:13">
      <c r="B6" t="s">
        <v>3</v>
      </c>
      <c r="C6" t="s">
        <v>4</v>
      </c>
      <c r="D6" t="s">
        <v>5</v>
      </c>
      <c r="E6" t="s">
        <v>6</v>
      </c>
      <c r="F6" t="s">
        <v>7</v>
      </c>
      <c r="I6" t="s">
        <v>25</v>
      </c>
      <c r="K6" t="s">
        <v>43</v>
      </c>
      <c r="M6" t="s">
        <v>47</v>
      </c>
    </row>
    <row r="7" spans="2:13">
      <c r="B7" s="23" t="s">
        <v>8</v>
      </c>
      <c r="C7" s="23" t="s">
        <v>9</v>
      </c>
      <c r="D7" s="21">
        <v>50000</v>
      </c>
      <c r="E7">
        <f>IFERROR(INDEX(tblInsumos[Unidad base],MATCH(tblEquivalencias[[#This Row],[Artículo]],tblInsumos[Insumo],0)),IFERROR(INDEX(tblProductos[Unidad base],MATCH(tblEquivalencias[[#This Row],[Artículo]],tblProductos[Producto],0)),""))</f>
        <v>0</v>
      </c>
      <c r="F7" s="23" t="s">
        <v>10</v>
      </c>
      <c r="I7" s="23" t="s">
        <v>26</v>
      </c>
      <c r="K7" s="23" t="s">
        <v>44</v>
      </c>
      <c r="M7" s="23" t="s">
        <v>48</v>
      </c>
    </row>
    <row r="8" spans="2:13">
      <c r="B8" s="23" t="s">
        <v>8</v>
      </c>
      <c r="C8" s="23" t="s">
        <v>11</v>
      </c>
      <c r="D8" s="21">
        <v>1000</v>
      </c>
      <c r="E8">
        <f>IFERROR(INDEX(tblInsumos[Unidad base],MATCH(tblEquivalencias[[#This Row],[Artículo]],tblInsumos[Insumo],0)),IFERROR(INDEX(tblProductos[Unidad base],MATCH(tblEquivalencias[[#This Row],[Artículo]],tblProductos[Producto],0)),""))</f>
        <v>0</v>
      </c>
      <c r="F8" s="23"/>
      <c r="I8" s="23" t="s">
        <v>27</v>
      </c>
      <c r="K8" s="23" t="s">
        <v>45</v>
      </c>
    </row>
    <row r="9" spans="2:13">
      <c r="B9" s="23" t="s">
        <v>12</v>
      </c>
      <c r="C9" s="23" t="s">
        <v>9</v>
      </c>
      <c r="D9" s="21">
        <v>50000</v>
      </c>
      <c r="E9">
        <f>IFERROR(INDEX(tblInsumos[Unidad base],MATCH(tblEquivalencias[[#This Row],[Artículo]],tblInsumos[Insumo],0)),IFERROR(INDEX(tblProductos[Unidad base],MATCH(tblEquivalencias[[#This Row],[Artículo]],tblProductos[Producto],0)),""))</f>
        <v>0</v>
      </c>
      <c r="F9" s="23" t="s">
        <v>10</v>
      </c>
      <c r="I9" s="23" t="s">
        <v>11</v>
      </c>
      <c r="K9" s="23" t="s">
        <v>46</v>
      </c>
    </row>
    <row r="10" spans="2:13">
      <c r="B10" s="23" t="s">
        <v>12</v>
      </c>
      <c r="C10" s="23" t="s">
        <v>11</v>
      </c>
      <c r="D10" s="21">
        <v>1000</v>
      </c>
      <c r="E10">
        <f>IFERROR(INDEX(tblInsumos[Unidad base],MATCH(tblEquivalencias[[#This Row],[Artículo]],tblInsumos[Insumo],0)),IFERROR(INDEX(tblProductos[Unidad base],MATCH(tblEquivalencias[[#This Row],[Artículo]],tblProductos[Producto],0)),""))</f>
        <v>0</v>
      </c>
      <c r="F10" s="23"/>
      <c r="I10" s="23" t="s">
        <v>28</v>
      </c>
    </row>
    <row r="11" spans="2:13">
      <c r="B11" s="23" t="s">
        <v>13</v>
      </c>
      <c r="C11" s="23" t="s">
        <v>14</v>
      </c>
      <c r="D11" s="21">
        <v>500</v>
      </c>
      <c r="E11">
        <f>IFERROR(INDEX(tblInsumos[Unidad base],MATCH(tblEquivalencias[[#This Row],[Artículo]],tblInsumos[Insumo],0)),IFERROR(INDEX(tblProductos[Unidad base],MATCH(tblEquivalencias[[#This Row],[Artículo]],tblProductos[Producto],0)),""))</f>
        <v>0</v>
      </c>
      <c r="F11" s="23" t="s">
        <v>15</v>
      </c>
      <c r="I11" s="23" t="s">
        <v>29</v>
      </c>
    </row>
    <row r="12" spans="2:13">
      <c r="B12" s="23" t="s">
        <v>16</v>
      </c>
      <c r="C12" s="23" t="s">
        <v>11</v>
      </c>
      <c r="D12" s="21">
        <v>1000</v>
      </c>
      <c r="E12">
        <f>IFERROR(INDEX(tblInsumos[Unidad base],MATCH(tblEquivalencias[[#This Row],[Artículo]],tblInsumos[Insumo],0)),IFERROR(INDEX(tblProductos[Unidad base],MATCH(tblEquivalencias[[#This Row],[Artículo]],tblProductos[Producto],0)),""))</f>
        <v>0</v>
      </c>
      <c r="F12" s="23"/>
      <c r="I12" s="23" t="s">
        <v>30</v>
      </c>
    </row>
    <row r="13" spans="2:13">
      <c r="B13" s="23" t="s">
        <v>17</v>
      </c>
      <c r="C13" s="23" t="s">
        <v>18</v>
      </c>
      <c r="D13" s="21">
        <v>30</v>
      </c>
      <c r="E13">
        <f>IFERROR(INDEX(tblInsumos[Unidad base],MATCH(tblEquivalencias[[#This Row],[Artículo]],tblInsumos[Insumo],0)),IFERROR(INDEX(tblProductos[Unidad base],MATCH(tblEquivalencias[[#This Row],[Artículo]],tblProductos[Producto],0)),""))</f>
        <v>0</v>
      </c>
      <c r="F13" s="23" t="s">
        <v>19</v>
      </c>
      <c r="I13" s="23" t="s">
        <v>21</v>
      </c>
    </row>
    <row r="14" spans="2:13">
      <c r="B14" s="23" t="s">
        <v>20</v>
      </c>
      <c r="C14" s="23" t="s">
        <v>21</v>
      </c>
      <c r="D14" s="21">
        <v>1000</v>
      </c>
      <c r="E14">
        <f>IFERROR(INDEX(tblInsumos[Unidad base],MATCH(tblEquivalencias[[#This Row],[Artículo]],tblInsumos[Insumo],0)),IFERROR(INDEX(tblProductos[Unidad base],MATCH(tblEquivalencias[[#This Row],[Artículo]],tblProductos[Producto],0)),""))</f>
        <v>0</v>
      </c>
      <c r="F14" s="23"/>
      <c r="I14" s="23" t="s">
        <v>31</v>
      </c>
    </row>
    <row r="15" spans="2:13">
      <c r="B15" s="23" t="s">
        <v>22</v>
      </c>
      <c r="C15" s="23" t="s">
        <v>23</v>
      </c>
      <c r="D15" s="21">
        <v>10</v>
      </c>
      <c r="E15">
        <f>IFERROR(INDEX(tblInsumos[Unidad base],MATCH(tblEquivalencias[[#This Row],[Artículo]],tblInsumos[Insumo],0)),IFERROR(INDEX(tblProductos[Unidad base],MATCH(tblEquivalencias[[#This Row],[Artículo]],tblProductos[Producto],0)),""))</f>
        <v>0</v>
      </c>
      <c r="F15" s="23" t="s">
        <v>24</v>
      </c>
      <c r="I15" s="23" t="s">
        <v>32</v>
      </c>
    </row>
    <row r="16" spans="2:13">
      <c r="I16" s="23" t="s">
        <v>18</v>
      </c>
    </row>
    <row r="17" spans="9:9">
      <c r="I17" s="23" t="s">
        <v>33</v>
      </c>
    </row>
    <row r="18" spans="9:9">
      <c r="I18" s="23" t="s">
        <v>23</v>
      </c>
    </row>
    <row r="19" spans="9:9">
      <c r="I19" s="23" t="s">
        <v>14</v>
      </c>
    </row>
    <row r="20" spans="9:9">
      <c r="I20" s="23" t="s">
        <v>34</v>
      </c>
    </row>
    <row r="21" spans="9:9">
      <c r="I21" s="23" t="s">
        <v>35</v>
      </c>
    </row>
    <row r="22" spans="9:9">
      <c r="I22" s="23" t="s">
        <v>36</v>
      </c>
    </row>
    <row r="23" spans="9:9">
      <c r="I23" s="23" t="s">
        <v>37</v>
      </c>
    </row>
    <row r="24" spans="9:9">
      <c r="I24" s="23" t="s">
        <v>38</v>
      </c>
    </row>
    <row r="25" spans="9:9">
      <c r="I25" s="23" t="s">
        <v>39</v>
      </c>
    </row>
    <row r="26" spans="9:9">
      <c r="I26" s="23" t="s">
        <v>40</v>
      </c>
    </row>
    <row r="27" spans="9:9">
      <c r="I27" s="23" t="s">
        <v>41</v>
      </c>
    </row>
    <row r="28" spans="9:9">
      <c r="I28" s="23" t="s">
        <v>9</v>
      </c>
    </row>
    <row r="29" spans="9:9">
      <c r="I29" s="23" t="s">
        <v>42</v>
      </c>
    </row>
  </sheetData>
  <mergeCells count="2">
    <mergeCell ref="B1:H1"/>
    <mergeCell ref="B3:H4"/>
  </mergeCells>
  <pageMargins left="0.4" right="0.4" top="0.5" bottom="0.5" header="0.3" footer="0.3"/>
  <pageSetup paperSize="9" fitToHeight="0" orientation="landscape"/>
  <legacyDrawing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Recetas">
    <tabColor rgb="FF7A3B12"/>
    <pageSetUpPr fitToPage="1"/>
  </sheetPr>
  <dimension ref="A1:H15"/>
  <sheetViews>
    <sheetView showGridLines="0" workbookViewId="0"/>
  </sheetViews>
  <sheetFormatPr defaultRowHeight="15"/>
  <cols>
    <col min="1" max="1" width="2.7109375" customWidth="1"/>
    <col min="2" max="3" width="24.7109375" customWidth="1"/>
    <col min="4" max="4" width="16.7109375" customWidth="1"/>
    <col min="5" max="5" width="13.7109375" customWidth="1"/>
    <col min="6" max="7" width="5.7109375" hidden="1" customWidth="1"/>
  </cols>
  <sheetData>
    <row r="1" spans="2:8" ht="34" customHeight="1">
      <c r="B1" s="1" t="s">
        <v>122</v>
      </c>
      <c r="C1" s="1"/>
      <c r="D1" s="1"/>
      <c r="E1" s="1"/>
      <c r="F1" s="1"/>
      <c r="G1" s="1"/>
      <c r="H1" s="1"/>
    </row>
    <row r="2" spans="2:8">
      <c r="B2" s="2" t="s">
        <v>123</v>
      </c>
    </row>
    <row r="3" spans="2:8">
      <c r="B3" s="6" t="s">
        <v>124</v>
      </c>
      <c r="C3" s="6"/>
      <c r="D3" s="6"/>
      <c r="E3" s="6"/>
      <c r="F3" s="6"/>
      <c r="G3" s="6"/>
      <c r="H3" s="6"/>
    </row>
    <row r="5" spans="2:8">
      <c r="B5" t="s">
        <v>70</v>
      </c>
      <c r="C5" t="s">
        <v>52</v>
      </c>
      <c r="D5" t="s">
        <v>125</v>
      </c>
      <c r="E5" t="s">
        <v>6</v>
      </c>
      <c r="F5" t="s">
        <v>126</v>
      </c>
      <c r="G5" t="s">
        <v>127</v>
      </c>
    </row>
    <row r="6" spans="2:8">
      <c r="B6" s="23" t="s">
        <v>22</v>
      </c>
      <c r="C6" s="23" t="s">
        <v>8</v>
      </c>
      <c r="D6" s="21">
        <v>46000</v>
      </c>
      <c r="E6">
        <f>IFERROR(INDEX(tblInsumos[Unidad base],MATCH(tblRecetas[[#This Row],[Insumo]],tblInsumos[Insumo],0)),"")</f>
        <v>0</v>
      </c>
      <c r="F6">
        <f>IF(tblRecetas[[#This Row],[Producto]]=calcProducto,1,0)</f>
        <v>0</v>
      </c>
      <c r="G6">
        <f>IF(tblRecetas[[#This Row],[Sel]]=1,SUM(INDEX(tblRecetas[Sel],1):tblRecetas[[#This Row],[Sel]]),"")</f>
        <v>0</v>
      </c>
    </row>
    <row r="7" spans="2:8">
      <c r="B7" s="23" t="s">
        <v>22</v>
      </c>
      <c r="C7" s="23" t="s">
        <v>66</v>
      </c>
      <c r="D7" s="21">
        <v>920</v>
      </c>
      <c r="E7">
        <f>IFERROR(INDEX(tblInsumos[Unidad base],MATCH(tblRecetas[[#This Row],[Insumo]],tblInsumos[Insumo],0)),"")</f>
        <v>0</v>
      </c>
      <c r="F7">
        <f>IF(tblRecetas[[#This Row],[Producto]]=calcProducto,1,0)</f>
        <v>0</v>
      </c>
      <c r="G7">
        <f>IF(tblRecetas[[#This Row],[Sel]]=1,SUM(INDEX(tblRecetas[Sel],1):tblRecetas[[#This Row],[Sel]]),"")</f>
        <v>0</v>
      </c>
    </row>
    <row r="8" spans="2:8">
      <c r="B8" s="23" t="s">
        <v>22</v>
      </c>
      <c r="C8" s="23" t="s">
        <v>13</v>
      </c>
      <c r="D8" s="21">
        <v>460</v>
      </c>
      <c r="E8">
        <f>IFERROR(INDEX(tblInsumos[Unidad base],MATCH(tblRecetas[[#This Row],[Insumo]],tblInsumos[Insumo],0)),"")</f>
        <v>0</v>
      </c>
      <c r="F8">
        <f>IF(tblRecetas[[#This Row],[Producto]]=calcProducto,1,0)</f>
        <v>0</v>
      </c>
      <c r="G8">
        <f>IF(tblRecetas[[#This Row],[Sel]]=1,SUM(INDEX(tblRecetas[Sel],1):tblRecetas[[#This Row],[Sel]]),"")</f>
        <v>0</v>
      </c>
    </row>
    <row r="9" spans="2:8">
      <c r="B9" s="23" t="s">
        <v>22</v>
      </c>
      <c r="C9" s="23" t="s">
        <v>12</v>
      </c>
      <c r="D9" s="21">
        <v>920</v>
      </c>
      <c r="E9">
        <f>IFERROR(INDEX(tblInsumos[Unidad base],MATCH(tblRecetas[[#This Row],[Insumo]],tblInsumos[Insumo],0)),"")</f>
        <v>0</v>
      </c>
      <c r="F9">
        <f>IF(tblRecetas[[#This Row],[Producto]]=calcProducto,1,0)</f>
        <v>0</v>
      </c>
      <c r="G9">
        <f>IF(tblRecetas[[#This Row],[Sel]]=1,SUM(INDEX(tblRecetas[Sel],1):tblRecetas[[#This Row],[Sel]]),"")</f>
        <v>0</v>
      </c>
    </row>
    <row r="10" spans="2:8">
      <c r="B10" s="23" t="s">
        <v>22</v>
      </c>
      <c r="C10" s="23" t="s">
        <v>16</v>
      </c>
      <c r="D10" s="21">
        <v>920</v>
      </c>
      <c r="E10">
        <f>IFERROR(INDEX(tblInsumos[Unidad base],MATCH(tblRecetas[[#This Row],[Insumo]],tblInsumos[Insumo],0)),"")</f>
        <v>0</v>
      </c>
      <c r="F10">
        <f>IF(tblRecetas[[#This Row],[Producto]]=calcProducto,1,0)</f>
        <v>0</v>
      </c>
      <c r="G10">
        <f>IF(tblRecetas[[#This Row],[Sel]]=1,SUM(INDEX(tblRecetas[Sel],1):tblRecetas[[#This Row],[Sel]]),"")</f>
        <v>0</v>
      </c>
    </row>
    <row r="11" spans="2:8">
      <c r="B11" s="23" t="s">
        <v>81</v>
      </c>
      <c r="C11" s="23" t="s">
        <v>8</v>
      </c>
      <c r="D11" s="21">
        <v>500</v>
      </c>
      <c r="E11">
        <f>IFERROR(INDEX(tblInsumos[Unidad base],MATCH(tblRecetas[[#This Row],[Insumo]],tblInsumos[Insumo],0)),"")</f>
        <v>0</v>
      </c>
      <c r="F11">
        <f>IF(tblRecetas[[#This Row],[Producto]]=calcProducto,1,0)</f>
        <v>0</v>
      </c>
      <c r="G11">
        <f>IF(tblRecetas[[#This Row],[Sel]]=1,SUM(INDEX(tblRecetas[Sel],1):tblRecetas[[#This Row],[Sel]]),"")</f>
        <v>0</v>
      </c>
    </row>
    <row r="12" spans="2:8">
      <c r="B12" s="23" t="s">
        <v>81</v>
      </c>
      <c r="C12" s="23" t="s">
        <v>12</v>
      </c>
      <c r="D12" s="21">
        <v>400</v>
      </c>
      <c r="E12">
        <f>IFERROR(INDEX(tblInsumos[Unidad base],MATCH(tblRecetas[[#This Row],[Insumo]],tblInsumos[Insumo],0)),"")</f>
        <v>0</v>
      </c>
      <c r="F12">
        <f>IF(tblRecetas[[#This Row],[Producto]]=calcProducto,1,0)</f>
        <v>0</v>
      </c>
      <c r="G12">
        <f>IF(tblRecetas[[#This Row],[Sel]]=1,SUM(INDEX(tblRecetas[Sel],1):tblRecetas[[#This Row],[Sel]]),"")</f>
        <v>0</v>
      </c>
    </row>
    <row r="13" spans="2:8">
      <c r="B13" s="23" t="s">
        <v>81</v>
      </c>
      <c r="C13" s="23" t="s">
        <v>17</v>
      </c>
      <c r="D13" s="21">
        <v>6</v>
      </c>
      <c r="E13">
        <f>IFERROR(INDEX(tblInsumos[Unidad base],MATCH(tblRecetas[[#This Row],[Insumo]],tblInsumos[Insumo],0)),"")</f>
        <v>0</v>
      </c>
      <c r="F13">
        <f>IF(tblRecetas[[#This Row],[Producto]]=calcProducto,1,0)</f>
        <v>0</v>
      </c>
      <c r="G13">
        <f>IF(tblRecetas[[#This Row],[Sel]]=1,SUM(INDEX(tblRecetas[Sel],1):tblRecetas[[#This Row],[Sel]]),"")</f>
        <v>0</v>
      </c>
    </row>
    <row r="14" spans="2:8">
      <c r="B14" s="23" t="s">
        <v>81</v>
      </c>
      <c r="C14" s="23" t="s">
        <v>16</v>
      </c>
      <c r="D14" s="21">
        <v>250</v>
      </c>
      <c r="E14">
        <f>IFERROR(INDEX(tblInsumos[Unidad base],MATCH(tblRecetas[[#This Row],[Insumo]],tblInsumos[Insumo],0)),"")</f>
        <v>0</v>
      </c>
      <c r="F14">
        <f>IF(tblRecetas[[#This Row],[Producto]]=calcProducto,1,0)</f>
        <v>0</v>
      </c>
      <c r="G14">
        <f>IF(tblRecetas[[#This Row],[Sel]]=1,SUM(INDEX(tblRecetas[Sel],1):tblRecetas[[#This Row],[Sel]]),"")</f>
        <v>0</v>
      </c>
    </row>
    <row r="15" spans="2:8">
      <c r="B15" s="23" t="s">
        <v>81</v>
      </c>
      <c r="C15" s="23" t="s">
        <v>20</v>
      </c>
      <c r="D15" s="21">
        <v>250</v>
      </c>
      <c r="E15">
        <f>IFERROR(INDEX(tblInsumos[Unidad base],MATCH(tblRecetas[[#This Row],[Insumo]],tblInsumos[Insumo],0)),"")</f>
        <v>0</v>
      </c>
      <c r="F15">
        <f>IF(tblRecetas[[#This Row],[Producto]]=calcProducto,1,0)</f>
        <v>0</v>
      </c>
      <c r="G15">
        <f>IF(tblRecetas[[#This Row],[Sel]]=1,SUM(INDEX(tblRecetas[Sel],1):tblRecetas[[#This Row],[Sel]]),"")</f>
        <v>0</v>
      </c>
    </row>
  </sheetData>
  <mergeCells count="2">
    <mergeCell ref="B1:H1"/>
    <mergeCell ref="B3:H3"/>
  </mergeCells>
  <dataValidations count="2">
    <dataValidation type="list" allowBlank="1" showInputMessage="1" showErrorMessage="1" sqref="B6:B3005">
      <formula1>lstProductos</formula1>
    </dataValidation>
    <dataValidation type="list" allowBlank="1" showInputMessage="1" showErrorMessage="1" sqref="C6:C3005">
      <formula1>lstInsumos</formula1>
    </dataValidation>
  </dataValidations>
  <pageMargins left="0.4" right="0.4" top="0.5" bottom="0.5" header="0.3" footer="0.3"/>
  <pageSetup paperSize="9" fitToHeight="0" orientation="landscape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Calculadora">
    <tabColor rgb="FF7A3B12"/>
    <pageSetUpPr fitToPage="1"/>
  </sheetPr>
  <dimension ref="A1:H50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8" width="15.7109375" customWidth="1"/>
  </cols>
  <sheetData>
    <row r="1" spans="2:8" ht="34" customHeight="1">
      <c r="B1" s="1" t="s">
        <v>128</v>
      </c>
      <c r="C1" s="1"/>
      <c r="D1" s="1"/>
      <c r="E1" s="1"/>
      <c r="F1" s="1"/>
      <c r="G1" s="1"/>
      <c r="H1" s="1"/>
    </row>
    <row r="2" spans="2:8">
      <c r="B2" s="2" t="s">
        <v>129</v>
      </c>
    </row>
    <row r="4" spans="2:8">
      <c r="B4" s="3" t="s">
        <v>70</v>
      </c>
      <c r="C4" s="7" t="s">
        <v>22</v>
      </c>
    </row>
    <row r="5" spans="2:8">
      <c r="B5" s="3" t="s">
        <v>130</v>
      </c>
      <c r="C5" s="16">
        <v>1</v>
      </c>
    </row>
    <row r="6" spans="2:8">
      <c r="B6" s="3" t="s">
        <v>72</v>
      </c>
      <c r="C6" s="25">
        <f>IFERROR(INDEX(tblProductos[Rinde por lote],MATCH(calcProducto,tblProductos[Producto],0)),0)</f>
        <v>0</v>
      </c>
    </row>
    <row r="7" spans="2:8">
      <c r="B7" s="3" t="s">
        <v>131</v>
      </c>
      <c r="C7" s="9">
        <f>N(calcLotes)*C6</f>
        <v>0</v>
      </c>
    </row>
    <row r="10" spans="2:8">
      <c r="B10" s="12" t="s">
        <v>52</v>
      </c>
      <c r="C10" s="12" t="s">
        <v>132</v>
      </c>
      <c r="D10" s="12" t="s">
        <v>133</v>
      </c>
      <c r="E10" s="12" t="s">
        <v>25</v>
      </c>
      <c r="F10" s="12" t="s">
        <v>134</v>
      </c>
      <c r="G10" s="12" t="s">
        <v>135</v>
      </c>
    </row>
    <row r="11" spans="2:8">
      <c r="B11" s="13">
        <f>IFERROR(INDEX(tblRecetas[Insumo],MATCH(1,tblRecetas[Orden],0)),"")</f>
        <v>0</v>
      </c>
      <c r="C11" s="13">
        <f>IF(B11="","",INDEX(tblRecetas[Cantidad por lote],MATCH(1,tblRecetas[Orden],0)))</f>
        <v>0</v>
      </c>
      <c r="D11" s="13">
        <f>IF(B11="","",C11*N(calcLotes))</f>
        <v>0</v>
      </c>
      <c r="E11" s="13">
        <f>IF(B11="","",IFERROR(INDEX(tblInsumos[Unidad base],MATCH(B11,tblInsumos[Insumo],0)),""))</f>
        <v>0</v>
      </c>
      <c r="F11" s="13">
        <f>IF(B11="","",IFERROR(INDEX(tblInsumos[Stock],MATCH(B11,tblInsumos[Insumo],0)),0))</f>
        <v>0</v>
      </c>
      <c r="G11" s="13">
        <f>IF(B11="","",IF(F11&gt;=D11,"✔ Sí","✖ Faltan "&amp;IF((D11-F11)=INT(D11-F11),FIXED(D11-F11,0),FIXED(D11-F11,3))))</f>
        <v>0</v>
      </c>
    </row>
    <row r="12" spans="2:8">
      <c r="B12" s="13">
        <f>IFERROR(INDEX(tblRecetas[Insumo],MATCH(2,tblRecetas[Orden],0)),"")</f>
        <v>0</v>
      </c>
      <c r="C12" s="13">
        <f>IF(B12="","",INDEX(tblRecetas[Cantidad por lote],MATCH(2,tblRecetas[Orden],0)))</f>
        <v>0</v>
      </c>
      <c r="D12" s="13">
        <f>IF(B12="","",C12*N(calcLotes))</f>
        <v>0</v>
      </c>
      <c r="E12" s="13">
        <f>IF(B12="","",IFERROR(INDEX(tblInsumos[Unidad base],MATCH(B12,tblInsumos[Insumo],0)),""))</f>
        <v>0</v>
      </c>
      <c r="F12" s="13">
        <f>IF(B12="","",IFERROR(INDEX(tblInsumos[Stock],MATCH(B12,tblInsumos[Insumo],0)),0))</f>
        <v>0</v>
      </c>
      <c r="G12" s="13">
        <f>IF(B12="","",IF(F12&gt;=D12,"✔ Sí","✖ Faltan "&amp;IF((D12-F12)=INT(D12-F12),FIXED(D12-F12,0),FIXED(D12-F12,3))))</f>
        <v>0</v>
      </c>
    </row>
    <row r="13" spans="2:8">
      <c r="B13" s="13">
        <f>IFERROR(INDEX(tblRecetas[Insumo],MATCH(3,tblRecetas[Orden],0)),"")</f>
        <v>0</v>
      </c>
      <c r="C13" s="13">
        <f>IF(B13="","",INDEX(tblRecetas[Cantidad por lote],MATCH(3,tblRecetas[Orden],0)))</f>
        <v>0</v>
      </c>
      <c r="D13" s="13">
        <f>IF(B13="","",C13*N(calcLotes))</f>
        <v>0</v>
      </c>
      <c r="E13" s="13">
        <f>IF(B13="","",IFERROR(INDEX(tblInsumos[Unidad base],MATCH(B13,tblInsumos[Insumo],0)),""))</f>
        <v>0</v>
      </c>
      <c r="F13" s="13">
        <f>IF(B13="","",IFERROR(INDEX(tblInsumos[Stock],MATCH(B13,tblInsumos[Insumo],0)),0))</f>
        <v>0</v>
      </c>
      <c r="G13" s="13">
        <f>IF(B13="","",IF(F13&gt;=D13,"✔ Sí","✖ Faltan "&amp;IF((D13-F13)=INT(D13-F13),FIXED(D13-F13,0),FIXED(D13-F13,3))))</f>
        <v>0</v>
      </c>
    </row>
    <row r="14" spans="2:8">
      <c r="B14" s="13">
        <f>IFERROR(INDEX(tblRecetas[Insumo],MATCH(4,tblRecetas[Orden],0)),"")</f>
        <v>0</v>
      </c>
      <c r="C14" s="13">
        <f>IF(B14="","",INDEX(tblRecetas[Cantidad por lote],MATCH(4,tblRecetas[Orden],0)))</f>
        <v>0</v>
      </c>
      <c r="D14" s="13">
        <f>IF(B14="","",C14*N(calcLotes))</f>
        <v>0</v>
      </c>
      <c r="E14" s="13">
        <f>IF(B14="","",IFERROR(INDEX(tblInsumos[Unidad base],MATCH(B14,tblInsumos[Insumo],0)),""))</f>
        <v>0</v>
      </c>
      <c r="F14" s="13">
        <f>IF(B14="","",IFERROR(INDEX(tblInsumos[Stock],MATCH(B14,tblInsumos[Insumo],0)),0))</f>
        <v>0</v>
      </c>
      <c r="G14" s="13">
        <f>IF(B14="","",IF(F14&gt;=D14,"✔ Sí","✖ Faltan "&amp;IF((D14-F14)=INT(D14-F14),FIXED(D14-F14,0),FIXED(D14-F14,3))))</f>
        <v>0</v>
      </c>
    </row>
    <row r="15" spans="2:8">
      <c r="B15" s="13">
        <f>IFERROR(INDEX(tblRecetas[Insumo],MATCH(5,tblRecetas[Orden],0)),"")</f>
        <v>0</v>
      </c>
      <c r="C15" s="13">
        <f>IF(B15="","",INDEX(tblRecetas[Cantidad por lote],MATCH(5,tblRecetas[Orden],0)))</f>
        <v>0</v>
      </c>
      <c r="D15" s="13">
        <f>IF(B15="","",C15*N(calcLotes))</f>
        <v>0</v>
      </c>
      <c r="E15" s="13">
        <f>IF(B15="","",IFERROR(INDEX(tblInsumos[Unidad base],MATCH(B15,tblInsumos[Insumo],0)),""))</f>
        <v>0</v>
      </c>
      <c r="F15" s="13">
        <f>IF(B15="","",IFERROR(INDEX(tblInsumos[Stock],MATCH(B15,tblInsumos[Insumo],0)),0))</f>
        <v>0</v>
      </c>
      <c r="G15" s="13">
        <f>IF(B15="","",IF(F15&gt;=D15,"✔ Sí","✖ Faltan "&amp;IF((D15-F15)=INT(D15-F15),FIXED(D15-F15,0),FIXED(D15-F15,3))))</f>
        <v>0</v>
      </c>
    </row>
    <row r="16" spans="2:8">
      <c r="B16" s="13">
        <f>IFERROR(INDEX(tblRecetas[Insumo],MATCH(6,tblRecetas[Orden],0)),"")</f>
        <v>0</v>
      </c>
      <c r="C16" s="13">
        <f>IF(B16="","",INDEX(tblRecetas[Cantidad por lote],MATCH(6,tblRecetas[Orden],0)))</f>
        <v>0</v>
      </c>
      <c r="D16" s="13">
        <f>IF(B16="","",C16*N(calcLotes))</f>
        <v>0</v>
      </c>
      <c r="E16" s="13">
        <f>IF(B16="","",IFERROR(INDEX(tblInsumos[Unidad base],MATCH(B16,tblInsumos[Insumo],0)),""))</f>
        <v>0</v>
      </c>
      <c r="F16" s="13">
        <f>IF(B16="","",IFERROR(INDEX(tblInsumos[Stock],MATCH(B16,tblInsumos[Insumo],0)),0))</f>
        <v>0</v>
      </c>
      <c r="G16" s="13">
        <f>IF(B16="","",IF(F16&gt;=D16,"✔ Sí","✖ Faltan "&amp;IF((D16-F16)=INT(D16-F16),FIXED(D16-F16,0),FIXED(D16-F16,3))))</f>
        <v>0</v>
      </c>
    </row>
    <row r="17" spans="2:7">
      <c r="B17" s="13">
        <f>IFERROR(INDEX(tblRecetas[Insumo],MATCH(7,tblRecetas[Orden],0)),"")</f>
        <v>0</v>
      </c>
      <c r="C17" s="13">
        <f>IF(B17="","",INDEX(tblRecetas[Cantidad por lote],MATCH(7,tblRecetas[Orden],0)))</f>
        <v>0</v>
      </c>
      <c r="D17" s="13">
        <f>IF(B17="","",C17*N(calcLotes))</f>
        <v>0</v>
      </c>
      <c r="E17" s="13">
        <f>IF(B17="","",IFERROR(INDEX(tblInsumos[Unidad base],MATCH(B17,tblInsumos[Insumo],0)),""))</f>
        <v>0</v>
      </c>
      <c r="F17" s="13">
        <f>IF(B17="","",IFERROR(INDEX(tblInsumos[Stock],MATCH(B17,tblInsumos[Insumo],0)),0))</f>
        <v>0</v>
      </c>
      <c r="G17" s="13">
        <f>IF(B17="","",IF(F17&gt;=D17,"✔ Sí","✖ Faltan "&amp;IF((D17-F17)=INT(D17-F17),FIXED(D17-F17,0),FIXED(D17-F17,3))))</f>
        <v>0</v>
      </c>
    </row>
    <row r="18" spans="2:7">
      <c r="B18" s="13">
        <f>IFERROR(INDEX(tblRecetas[Insumo],MATCH(8,tblRecetas[Orden],0)),"")</f>
        <v>0</v>
      </c>
      <c r="C18" s="13">
        <f>IF(B18="","",INDEX(tblRecetas[Cantidad por lote],MATCH(8,tblRecetas[Orden],0)))</f>
        <v>0</v>
      </c>
      <c r="D18" s="13">
        <f>IF(B18="","",C18*N(calcLotes))</f>
        <v>0</v>
      </c>
      <c r="E18" s="13">
        <f>IF(B18="","",IFERROR(INDEX(tblInsumos[Unidad base],MATCH(B18,tblInsumos[Insumo],0)),""))</f>
        <v>0</v>
      </c>
      <c r="F18" s="13">
        <f>IF(B18="","",IFERROR(INDEX(tblInsumos[Stock],MATCH(B18,tblInsumos[Insumo],0)),0))</f>
        <v>0</v>
      </c>
      <c r="G18" s="13">
        <f>IF(B18="","",IF(F18&gt;=D18,"✔ Sí","✖ Faltan "&amp;IF((D18-F18)=INT(D18-F18),FIXED(D18-F18,0),FIXED(D18-F18,3))))</f>
        <v>0</v>
      </c>
    </row>
    <row r="19" spans="2:7">
      <c r="B19" s="13">
        <f>IFERROR(INDEX(tblRecetas[Insumo],MATCH(9,tblRecetas[Orden],0)),"")</f>
        <v>0</v>
      </c>
      <c r="C19" s="13">
        <f>IF(B19="","",INDEX(tblRecetas[Cantidad por lote],MATCH(9,tblRecetas[Orden],0)))</f>
        <v>0</v>
      </c>
      <c r="D19" s="13">
        <f>IF(B19="","",C19*N(calcLotes))</f>
        <v>0</v>
      </c>
      <c r="E19" s="13">
        <f>IF(B19="","",IFERROR(INDEX(tblInsumos[Unidad base],MATCH(B19,tblInsumos[Insumo],0)),""))</f>
        <v>0</v>
      </c>
      <c r="F19" s="13">
        <f>IF(B19="","",IFERROR(INDEX(tblInsumos[Stock],MATCH(B19,tblInsumos[Insumo],0)),0))</f>
        <v>0</v>
      </c>
      <c r="G19" s="13">
        <f>IF(B19="","",IF(F19&gt;=D19,"✔ Sí","✖ Faltan "&amp;IF((D19-F19)=INT(D19-F19),FIXED(D19-F19,0),FIXED(D19-F19,3))))</f>
        <v>0</v>
      </c>
    </row>
    <row r="20" spans="2:7">
      <c r="B20" s="13">
        <f>IFERROR(INDEX(tblRecetas[Insumo],MATCH(10,tblRecetas[Orden],0)),"")</f>
        <v>0</v>
      </c>
      <c r="C20" s="13">
        <f>IF(B20="","",INDEX(tblRecetas[Cantidad por lote],MATCH(10,tblRecetas[Orden],0)))</f>
        <v>0</v>
      </c>
      <c r="D20" s="13">
        <f>IF(B20="","",C20*N(calcLotes))</f>
        <v>0</v>
      </c>
      <c r="E20" s="13">
        <f>IF(B20="","",IFERROR(INDEX(tblInsumos[Unidad base],MATCH(B20,tblInsumos[Insumo],0)),""))</f>
        <v>0</v>
      </c>
      <c r="F20" s="13">
        <f>IF(B20="","",IFERROR(INDEX(tblInsumos[Stock],MATCH(B20,tblInsumos[Insumo],0)),0))</f>
        <v>0</v>
      </c>
      <c r="G20" s="13">
        <f>IF(B20="","",IF(F20&gt;=D20,"✔ Sí","✖ Faltan "&amp;IF((D20-F20)=INT(D20-F20),FIXED(D20-F20,0),FIXED(D20-F20,3))))</f>
        <v>0</v>
      </c>
    </row>
    <row r="21" spans="2:7">
      <c r="B21" s="13">
        <f>IFERROR(INDEX(tblRecetas[Insumo],MATCH(11,tblRecetas[Orden],0)),"")</f>
        <v>0</v>
      </c>
      <c r="C21" s="13">
        <f>IF(B21="","",INDEX(tblRecetas[Cantidad por lote],MATCH(11,tblRecetas[Orden],0)))</f>
        <v>0</v>
      </c>
      <c r="D21" s="13">
        <f>IF(B21="","",C21*N(calcLotes))</f>
        <v>0</v>
      </c>
      <c r="E21" s="13">
        <f>IF(B21="","",IFERROR(INDEX(tblInsumos[Unidad base],MATCH(B21,tblInsumos[Insumo],0)),""))</f>
        <v>0</v>
      </c>
      <c r="F21" s="13">
        <f>IF(B21="","",IFERROR(INDEX(tblInsumos[Stock],MATCH(B21,tblInsumos[Insumo],0)),0))</f>
        <v>0</v>
      </c>
      <c r="G21" s="13">
        <f>IF(B21="","",IF(F21&gt;=D21,"✔ Sí","✖ Faltan "&amp;IF((D21-F21)=INT(D21-F21),FIXED(D21-F21,0),FIXED(D21-F21,3))))</f>
        <v>0</v>
      </c>
    </row>
    <row r="22" spans="2:7">
      <c r="B22" s="13">
        <f>IFERROR(INDEX(tblRecetas[Insumo],MATCH(12,tblRecetas[Orden],0)),"")</f>
        <v>0</v>
      </c>
      <c r="C22" s="13">
        <f>IF(B22="","",INDEX(tblRecetas[Cantidad por lote],MATCH(12,tblRecetas[Orden],0)))</f>
        <v>0</v>
      </c>
      <c r="D22" s="13">
        <f>IF(B22="","",C22*N(calcLotes))</f>
        <v>0</v>
      </c>
      <c r="E22" s="13">
        <f>IF(B22="","",IFERROR(INDEX(tblInsumos[Unidad base],MATCH(B22,tblInsumos[Insumo],0)),""))</f>
        <v>0</v>
      </c>
      <c r="F22" s="13">
        <f>IF(B22="","",IFERROR(INDEX(tblInsumos[Stock],MATCH(B22,tblInsumos[Insumo],0)),0))</f>
        <v>0</v>
      </c>
      <c r="G22" s="13">
        <f>IF(B22="","",IF(F22&gt;=D22,"✔ Sí","✖ Faltan "&amp;IF((D22-F22)=INT(D22-F22),FIXED(D22-F22,0),FIXED(D22-F22,3))))</f>
        <v>0</v>
      </c>
    </row>
    <row r="23" spans="2:7">
      <c r="B23" s="13">
        <f>IFERROR(INDEX(tblRecetas[Insumo],MATCH(13,tblRecetas[Orden],0)),"")</f>
        <v>0</v>
      </c>
      <c r="C23" s="13">
        <f>IF(B23="","",INDEX(tblRecetas[Cantidad por lote],MATCH(13,tblRecetas[Orden],0)))</f>
        <v>0</v>
      </c>
      <c r="D23" s="13">
        <f>IF(B23="","",C23*N(calcLotes))</f>
        <v>0</v>
      </c>
      <c r="E23" s="13">
        <f>IF(B23="","",IFERROR(INDEX(tblInsumos[Unidad base],MATCH(B23,tblInsumos[Insumo],0)),""))</f>
        <v>0</v>
      </c>
      <c r="F23" s="13">
        <f>IF(B23="","",IFERROR(INDEX(tblInsumos[Stock],MATCH(B23,tblInsumos[Insumo],0)),0))</f>
        <v>0</v>
      </c>
      <c r="G23" s="13">
        <f>IF(B23="","",IF(F23&gt;=D23,"✔ Sí","✖ Faltan "&amp;IF((D23-F23)=INT(D23-F23),FIXED(D23-F23,0),FIXED(D23-F23,3))))</f>
        <v>0</v>
      </c>
    </row>
    <row r="24" spans="2:7">
      <c r="B24" s="13">
        <f>IFERROR(INDEX(tblRecetas[Insumo],MATCH(14,tblRecetas[Orden],0)),"")</f>
        <v>0</v>
      </c>
      <c r="C24" s="13">
        <f>IF(B24="","",INDEX(tblRecetas[Cantidad por lote],MATCH(14,tblRecetas[Orden],0)))</f>
        <v>0</v>
      </c>
      <c r="D24" s="13">
        <f>IF(B24="","",C24*N(calcLotes))</f>
        <v>0</v>
      </c>
      <c r="E24" s="13">
        <f>IF(B24="","",IFERROR(INDEX(tblInsumos[Unidad base],MATCH(B24,tblInsumos[Insumo],0)),""))</f>
        <v>0</v>
      </c>
      <c r="F24" s="13">
        <f>IF(B24="","",IFERROR(INDEX(tblInsumos[Stock],MATCH(B24,tblInsumos[Insumo],0)),0))</f>
        <v>0</v>
      </c>
      <c r="G24" s="13">
        <f>IF(B24="","",IF(F24&gt;=D24,"✔ Sí","✖ Faltan "&amp;IF((D24-F24)=INT(D24-F24),FIXED(D24-F24,0),FIXED(D24-F24,3))))</f>
        <v>0</v>
      </c>
    </row>
    <row r="25" spans="2:7">
      <c r="B25" s="13">
        <f>IFERROR(INDEX(tblRecetas[Insumo],MATCH(15,tblRecetas[Orden],0)),"")</f>
        <v>0</v>
      </c>
      <c r="C25" s="13">
        <f>IF(B25="","",INDEX(tblRecetas[Cantidad por lote],MATCH(15,tblRecetas[Orden],0)))</f>
        <v>0</v>
      </c>
      <c r="D25" s="13">
        <f>IF(B25="","",C25*N(calcLotes))</f>
        <v>0</v>
      </c>
      <c r="E25" s="13">
        <f>IF(B25="","",IFERROR(INDEX(tblInsumos[Unidad base],MATCH(B25,tblInsumos[Insumo],0)),""))</f>
        <v>0</v>
      </c>
      <c r="F25" s="13">
        <f>IF(B25="","",IFERROR(INDEX(tblInsumos[Stock],MATCH(B25,tblInsumos[Insumo],0)),0))</f>
        <v>0</v>
      </c>
      <c r="G25" s="13">
        <f>IF(B25="","",IF(F25&gt;=D25,"✔ Sí","✖ Faltan "&amp;IF((D25-F25)=INT(D25-F25),FIXED(D25-F25,0),FIXED(D25-F25,3))))</f>
        <v>0</v>
      </c>
    </row>
    <row r="26" spans="2:7">
      <c r="B26" s="13">
        <f>IFERROR(INDEX(tblRecetas[Insumo],MATCH(16,tblRecetas[Orden],0)),"")</f>
        <v>0</v>
      </c>
      <c r="C26" s="13">
        <f>IF(B26="","",INDEX(tblRecetas[Cantidad por lote],MATCH(16,tblRecetas[Orden],0)))</f>
        <v>0</v>
      </c>
      <c r="D26" s="13">
        <f>IF(B26="","",C26*N(calcLotes))</f>
        <v>0</v>
      </c>
      <c r="E26" s="13">
        <f>IF(B26="","",IFERROR(INDEX(tblInsumos[Unidad base],MATCH(B26,tblInsumos[Insumo],0)),""))</f>
        <v>0</v>
      </c>
      <c r="F26" s="13">
        <f>IF(B26="","",IFERROR(INDEX(tblInsumos[Stock],MATCH(B26,tblInsumos[Insumo],0)),0))</f>
        <v>0</v>
      </c>
      <c r="G26" s="13">
        <f>IF(B26="","",IF(F26&gt;=D26,"✔ Sí","✖ Faltan "&amp;IF((D26-F26)=INT(D26-F26),FIXED(D26-F26,0),FIXED(D26-F26,3))))</f>
        <v>0</v>
      </c>
    </row>
    <row r="27" spans="2:7">
      <c r="B27" s="13">
        <f>IFERROR(INDEX(tblRecetas[Insumo],MATCH(17,tblRecetas[Orden],0)),"")</f>
        <v>0</v>
      </c>
      <c r="C27" s="13">
        <f>IF(B27="","",INDEX(tblRecetas[Cantidad por lote],MATCH(17,tblRecetas[Orden],0)))</f>
        <v>0</v>
      </c>
      <c r="D27" s="13">
        <f>IF(B27="","",C27*N(calcLotes))</f>
        <v>0</v>
      </c>
      <c r="E27" s="13">
        <f>IF(B27="","",IFERROR(INDEX(tblInsumos[Unidad base],MATCH(B27,tblInsumos[Insumo],0)),""))</f>
        <v>0</v>
      </c>
      <c r="F27" s="13">
        <f>IF(B27="","",IFERROR(INDEX(tblInsumos[Stock],MATCH(B27,tblInsumos[Insumo],0)),0))</f>
        <v>0</v>
      </c>
      <c r="G27" s="13">
        <f>IF(B27="","",IF(F27&gt;=D27,"✔ Sí","✖ Faltan "&amp;IF((D27-F27)=INT(D27-F27),FIXED(D27-F27,0),FIXED(D27-F27,3))))</f>
        <v>0</v>
      </c>
    </row>
    <row r="28" spans="2:7">
      <c r="B28" s="13">
        <f>IFERROR(INDEX(tblRecetas[Insumo],MATCH(18,tblRecetas[Orden],0)),"")</f>
        <v>0</v>
      </c>
      <c r="C28" s="13">
        <f>IF(B28="","",INDEX(tblRecetas[Cantidad por lote],MATCH(18,tblRecetas[Orden],0)))</f>
        <v>0</v>
      </c>
      <c r="D28" s="13">
        <f>IF(B28="","",C28*N(calcLotes))</f>
        <v>0</v>
      </c>
      <c r="E28" s="13">
        <f>IF(B28="","",IFERROR(INDEX(tblInsumos[Unidad base],MATCH(B28,tblInsumos[Insumo],0)),""))</f>
        <v>0</v>
      </c>
      <c r="F28" s="13">
        <f>IF(B28="","",IFERROR(INDEX(tblInsumos[Stock],MATCH(B28,tblInsumos[Insumo],0)),0))</f>
        <v>0</v>
      </c>
      <c r="G28" s="13">
        <f>IF(B28="","",IF(F28&gt;=D28,"✔ Sí","✖ Faltan "&amp;IF((D28-F28)=INT(D28-F28),FIXED(D28-F28,0),FIXED(D28-F28,3))))</f>
        <v>0</v>
      </c>
    </row>
    <row r="29" spans="2:7">
      <c r="B29" s="13">
        <f>IFERROR(INDEX(tblRecetas[Insumo],MATCH(19,tblRecetas[Orden],0)),"")</f>
        <v>0</v>
      </c>
      <c r="C29" s="13">
        <f>IF(B29="","",INDEX(tblRecetas[Cantidad por lote],MATCH(19,tblRecetas[Orden],0)))</f>
        <v>0</v>
      </c>
      <c r="D29" s="13">
        <f>IF(B29="","",C29*N(calcLotes))</f>
        <v>0</v>
      </c>
      <c r="E29" s="13">
        <f>IF(B29="","",IFERROR(INDEX(tblInsumos[Unidad base],MATCH(B29,tblInsumos[Insumo],0)),""))</f>
        <v>0</v>
      </c>
      <c r="F29" s="13">
        <f>IF(B29="","",IFERROR(INDEX(tblInsumos[Stock],MATCH(B29,tblInsumos[Insumo],0)),0))</f>
        <v>0</v>
      </c>
      <c r="G29" s="13">
        <f>IF(B29="","",IF(F29&gt;=D29,"✔ Sí","✖ Faltan "&amp;IF((D29-F29)=INT(D29-F29),FIXED(D29-F29,0),FIXED(D29-F29,3))))</f>
        <v>0</v>
      </c>
    </row>
    <row r="30" spans="2:7">
      <c r="B30" s="13">
        <f>IFERROR(INDEX(tblRecetas[Insumo],MATCH(20,tblRecetas[Orden],0)),"")</f>
        <v>0</v>
      </c>
      <c r="C30" s="13">
        <f>IF(B30="","",INDEX(tblRecetas[Cantidad por lote],MATCH(20,tblRecetas[Orden],0)))</f>
        <v>0</v>
      </c>
      <c r="D30" s="13">
        <f>IF(B30="","",C30*N(calcLotes))</f>
        <v>0</v>
      </c>
      <c r="E30" s="13">
        <f>IF(B30="","",IFERROR(INDEX(tblInsumos[Unidad base],MATCH(B30,tblInsumos[Insumo],0)),""))</f>
        <v>0</v>
      </c>
      <c r="F30" s="13">
        <f>IF(B30="","",IFERROR(INDEX(tblInsumos[Stock],MATCH(B30,tblInsumos[Insumo],0)),0))</f>
        <v>0</v>
      </c>
      <c r="G30" s="13">
        <f>IF(B30="","",IF(F30&gt;=D30,"✔ Sí","✖ Faltan "&amp;IF((D30-F30)=INT(D30-F30),FIXED(D30-F30,0),FIXED(D30-F30,3))))</f>
        <v>0</v>
      </c>
    </row>
    <row r="31" spans="2:7">
      <c r="B31" s="13">
        <f>IFERROR(INDEX(tblRecetas[Insumo],MATCH(21,tblRecetas[Orden],0)),"")</f>
        <v>0</v>
      </c>
      <c r="C31" s="13">
        <f>IF(B31="","",INDEX(tblRecetas[Cantidad por lote],MATCH(21,tblRecetas[Orden],0)))</f>
        <v>0</v>
      </c>
      <c r="D31" s="13">
        <f>IF(B31="","",C31*N(calcLotes))</f>
        <v>0</v>
      </c>
      <c r="E31" s="13">
        <f>IF(B31="","",IFERROR(INDEX(tblInsumos[Unidad base],MATCH(B31,tblInsumos[Insumo],0)),""))</f>
        <v>0</v>
      </c>
      <c r="F31" s="13">
        <f>IF(B31="","",IFERROR(INDEX(tblInsumos[Stock],MATCH(B31,tblInsumos[Insumo],0)),0))</f>
        <v>0</v>
      </c>
      <c r="G31" s="13">
        <f>IF(B31="","",IF(F31&gt;=D31,"✔ Sí","✖ Faltan "&amp;IF((D31-F31)=INT(D31-F31),FIXED(D31-F31,0),FIXED(D31-F31,3))))</f>
        <v>0</v>
      </c>
    </row>
    <row r="32" spans="2:7">
      <c r="B32" s="13">
        <f>IFERROR(INDEX(tblRecetas[Insumo],MATCH(22,tblRecetas[Orden],0)),"")</f>
        <v>0</v>
      </c>
      <c r="C32" s="13">
        <f>IF(B32="","",INDEX(tblRecetas[Cantidad por lote],MATCH(22,tblRecetas[Orden],0)))</f>
        <v>0</v>
      </c>
      <c r="D32" s="13">
        <f>IF(B32="","",C32*N(calcLotes))</f>
        <v>0</v>
      </c>
      <c r="E32" s="13">
        <f>IF(B32="","",IFERROR(INDEX(tblInsumos[Unidad base],MATCH(B32,tblInsumos[Insumo],0)),""))</f>
        <v>0</v>
      </c>
      <c r="F32" s="13">
        <f>IF(B32="","",IFERROR(INDEX(tblInsumos[Stock],MATCH(B32,tblInsumos[Insumo],0)),0))</f>
        <v>0</v>
      </c>
      <c r="G32" s="13">
        <f>IF(B32="","",IF(F32&gt;=D32,"✔ Sí","✖ Faltan "&amp;IF((D32-F32)=INT(D32-F32),FIXED(D32-F32,0),FIXED(D32-F32,3))))</f>
        <v>0</v>
      </c>
    </row>
    <row r="33" spans="2:7">
      <c r="B33" s="13">
        <f>IFERROR(INDEX(tblRecetas[Insumo],MATCH(23,tblRecetas[Orden],0)),"")</f>
        <v>0</v>
      </c>
      <c r="C33" s="13">
        <f>IF(B33="","",INDEX(tblRecetas[Cantidad por lote],MATCH(23,tblRecetas[Orden],0)))</f>
        <v>0</v>
      </c>
      <c r="D33" s="13">
        <f>IF(B33="","",C33*N(calcLotes))</f>
        <v>0</v>
      </c>
      <c r="E33" s="13">
        <f>IF(B33="","",IFERROR(INDEX(tblInsumos[Unidad base],MATCH(B33,tblInsumos[Insumo],0)),""))</f>
        <v>0</v>
      </c>
      <c r="F33" s="13">
        <f>IF(B33="","",IFERROR(INDEX(tblInsumos[Stock],MATCH(B33,tblInsumos[Insumo],0)),0))</f>
        <v>0</v>
      </c>
      <c r="G33" s="13">
        <f>IF(B33="","",IF(F33&gt;=D33,"✔ Sí","✖ Faltan "&amp;IF((D33-F33)=INT(D33-F33),FIXED(D33-F33,0),FIXED(D33-F33,3))))</f>
        <v>0</v>
      </c>
    </row>
    <row r="34" spans="2:7">
      <c r="B34" s="13">
        <f>IFERROR(INDEX(tblRecetas[Insumo],MATCH(24,tblRecetas[Orden],0)),"")</f>
        <v>0</v>
      </c>
      <c r="C34" s="13">
        <f>IF(B34="","",INDEX(tblRecetas[Cantidad por lote],MATCH(24,tblRecetas[Orden],0)))</f>
        <v>0</v>
      </c>
      <c r="D34" s="13">
        <f>IF(B34="","",C34*N(calcLotes))</f>
        <v>0</v>
      </c>
      <c r="E34" s="13">
        <f>IF(B34="","",IFERROR(INDEX(tblInsumos[Unidad base],MATCH(B34,tblInsumos[Insumo],0)),""))</f>
        <v>0</v>
      </c>
      <c r="F34" s="13">
        <f>IF(B34="","",IFERROR(INDEX(tblInsumos[Stock],MATCH(B34,tblInsumos[Insumo],0)),0))</f>
        <v>0</v>
      </c>
      <c r="G34" s="13">
        <f>IF(B34="","",IF(F34&gt;=D34,"✔ Sí","✖ Faltan "&amp;IF((D34-F34)=INT(D34-F34),FIXED(D34-F34,0),FIXED(D34-F34,3))))</f>
        <v>0</v>
      </c>
    </row>
    <row r="35" spans="2:7">
      <c r="B35" s="13">
        <f>IFERROR(INDEX(tblRecetas[Insumo],MATCH(25,tblRecetas[Orden],0)),"")</f>
        <v>0</v>
      </c>
      <c r="C35" s="13">
        <f>IF(B35="","",INDEX(tblRecetas[Cantidad por lote],MATCH(25,tblRecetas[Orden],0)))</f>
        <v>0</v>
      </c>
      <c r="D35" s="13">
        <f>IF(B35="","",C35*N(calcLotes))</f>
        <v>0</v>
      </c>
      <c r="E35" s="13">
        <f>IF(B35="","",IFERROR(INDEX(tblInsumos[Unidad base],MATCH(B35,tblInsumos[Insumo],0)),""))</f>
        <v>0</v>
      </c>
      <c r="F35" s="13">
        <f>IF(B35="","",IFERROR(INDEX(tblInsumos[Stock],MATCH(B35,tblInsumos[Insumo],0)),0))</f>
        <v>0</v>
      </c>
      <c r="G35" s="13">
        <f>IF(B35="","",IF(F35&gt;=D35,"✔ Sí","✖ Faltan "&amp;IF((D35-F35)=INT(D35-F35),FIXED(D35-F35,0),FIXED(D35-F35,3))))</f>
        <v>0</v>
      </c>
    </row>
    <row r="36" spans="2:7">
      <c r="B36" s="13">
        <f>IFERROR(INDEX(tblRecetas[Insumo],MATCH(26,tblRecetas[Orden],0)),"")</f>
        <v>0</v>
      </c>
      <c r="C36" s="13">
        <f>IF(B36="","",INDEX(tblRecetas[Cantidad por lote],MATCH(26,tblRecetas[Orden],0)))</f>
        <v>0</v>
      </c>
      <c r="D36" s="13">
        <f>IF(B36="","",C36*N(calcLotes))</f>
        <v>0</v>
      </c>
      <c r="E36" s="13">
        <f>IF(B36="","",IFERROR(INDEX(tblInsumos[Unidad base],MATCH(B36,tblInsumos[Insumo],0)),""))</f>
        <v>0</v>
      </c>
      <c r="F36" s="13">
        <f>IF(B36="","",IFERROR(INDEX(tblInsumos[Stock],MATCH(B36,tblInsumos[Insumo],0)),0))</f>
        <v>0</v>
      </c>
      <c r="G36" s="13">
        <f>IF(B36="","",IF(F36&gt;=D36,"✔ Sí","✖ Faltan "&amp;IF((D36-F36)=INT(D36-F36),FIXED(D36-F36,0),FIXED(D36-F36,3))))</f>
        <v>0</v>
      </c>
    </row>
    <row r="37" spans="2:7">
      <c r="B37" s="13">
        <f>IFERROR(INDEX(tblRecetas[Insumo],MATCH(27,tblRecetas[Orden],0)),"")</f>
        <v>0</v>
      </c>
      <c r="C37" s="13">
        <f>IF(B37="","",INDEX(tblRecetas[Cantidad por lote],MATCH(27,tblRecetas[Orden],0)))</f>
        <v>0</v>
      </c>
      <c r="D37" s="13">
        <f>IF(B37="","",C37*N(calcLotes))</f>
        <v>0</v>
      </c>
      <c r="E37" s="13">
        <f>IF(B37="","",IFERROR(INDEX(tblInsumos[Unidad base],MATCH(B37,tblInsumos[Insumo],0)),""))</f>
        <v>0</v>
      </c>
      <c r="F37" s="13">
        <f>IF(B37="","",IFERROR(INDEX(tblInsumos[Stock],MATCH(B37,tblInsumos[Insumo],0)),0))</f>
        <v>0</v>
      </c>
      <c r="G37" s="13">
        <f>IF(B37="","",IF(F37&gt;=D37,"✔ Sí","✖ Faltan "&amp;IF((D37-F37)=INT(D37-F37),FIXED(D37-F37,0),FIXED(D37-F37,3))))</f>
        <v>0</v>
      </c>
    </row>
    <row r="38" spans="2:7">
      <c r="B38" s="13">
        <f>IFERROR(INDEX(tblRecetas[Insumo],MATCH(28,tblRecetas[Orden],0)),"")</f>
        <v>0</v>
      </c>
      <c r="C38" s="13">
        <f>IF(B38="","",INDEX(tblRecetas[Cantidad por lote],MATCH(28,tblRecetas[Orden],0)))</f>
        <v>0</v>
      </c>
      <c r="D38" s="13">
        <f>IF(B38="","",C38*N(calcLotes))</f>
        <v>0</v>
      </c>
      <c r="E38" s="13">
        <f>IF(B38="","",IFERROR(INDEX(tblInsumos[Unidad base],MATCH(B38,tblInsumos[Insumo],0)),""))</f>
        <v>0</v>
      </c>
      <c r="F38" s="13">
        <f>IF(B38="","",IFERROR(INDEX(tblInsumos[Stock],MATCH(B38,tblInsumos[Insumo],0)),0))</f>
        <v>0</v>
      </c>
      <c r="G38" s="13">
        <f>IF(B38="","",IF(F38&gt;=D38,"✔ Sí","✖ Faltan "&amp;IF((D38-F38)=INT(D38-F38),FIXED(D38-F38,0),FIXED(D38-F38,3))))</f>
        <v>0</v>
      </c>
    </row>
    <row r="39" spans="2:7">
      <c r="B39" s="13">
        <f>IFERROR(INDEX(tblRecetas[Insumo],MATCH(29,tblRecetas[Orden],0)),"")</f>
        <v>0</v>
      </c>
      <c r="C39" s="13">
        <f>IF(B39="","",INDEX(tblRecetas[Cantidad por lote],MATCH(29,tblRecetas[Orden],0)))</f>
        <v>0</v>
      </c>
      <c r="D39" s="13">
        <f>IF(B39="","",C39*N(calcLotes))</f>
        <v>0</v>
      </c>
      <c r="E39" s="13">
        <f>IF(B39="","",IFERROR(INDEX(tblInsumos[Unidad base],MATCH(B39,tblInsumos[Insumo],0)),""))</f>
        <v>0</v>
      </c>
      <c r="F39" s="13">
        <f>IF(B39="","",IFERROR(INDEX(tblInsumos[Stock],MATCH(B39,tblInsumos[Insumo],0)),0))</f>
        <v>0</v>
      </c>
      <c r="G39" s="13">
        <f>IF(B39="","",IF(F39&gt;=D39,"✔ Sí","✖ Faltan "&amp;IF((D39-F39)=INT(D39-F39),FIXED(D39-F39,0),FIXED(D39-F39,3))))</f>
        <v>0</v>
      </c>
    </row>
    <row r="40" spans="2:7">
      <c r="B40" s="13">
        <f>IFERROR(INDEX(tblRecetas[Insumo],MATCH(30,tblRecetas[Orden],0)),"")</f>
        <v>0</v>
      </c>
      <c r="C40" s="13">
        <f>IF(B40="","",INDEX(tblRecetas[Cantidad por lote],MATCH(30,tblRecetas[Orden],0)))</f>
        <v>0</v>
      </c>
      <c r="D40" s="13">
        <f>IF(B40="","",C40*N(calcLotes))</f>
        <v>0</v>
      </c>
      <c r="E40" s="13">
        <f>IF(B40="","",IFERROR(INDEX(tblInsumos[Unidad base],MATCH(B40,tblInsumos[Insumo],0)),""))</f>
        <v>0</v>
      </c>
      <c r="F40" s="13">
        <f>IF(B40="","",IFERROR(INDEX(tblInsumos[Stock],MATCH(B40,tblInsumos[Insumo],0)),0))</f>
        <v>0</v>
      </c>
      <c r="G40" s="13">
        <f>IF(B40="","",IF(F40&gt;=D40,"✔ Sí","✖ Faltan "&amp;IF((D40-F40)=INT(D40-F40),FIXED(D40-F40,0),FIXED(D40-F40,3))))</f>
        <v>0</v>
      </c>
    </row>
    <row r="41" spans="2:7">
      <c r="B41" s="13">
        <f>IFERROR(INDEX(tblRecetas[Insumo],MATCH(31,tblRecetas[Orden],0)),"")</f>
        <v>0</v>
      </c>
      <c r="C41" s="13">
        <f>IF(B41="","",INDEX(tblRecetas[Cantidad por lote],MATCH(31,tblRecetas[Orden],0)))</f>
        <v>0</v>
      </c>
      <c r="D41" s="13">
        <f>IF(B41="","",C41*N(calcLotes))</f>
        <v>0</v>
      </c>
      <c r="E41" s="13">
        <f>IF(B41="","",IFERROR(INDEX(tblInsumos[Unidad base],MATCH(B41,tblInsumos[Insumo],0)),""))</f>
        <v>0</v>
      </c>
      <c r="F41" s="13">
        <f>IF(B41="","",IFERROR(INDEX(tblInsumos[Stock],MATCH(B41,tblInsumos[Insumo],0)),0))</f>
        <v>0</v>
      </c>
      <c r="G41" s="13">
        <f>IF(B41="","",IF(F41&gt;=D41,"✔ Sí","✖ Faltan "&amp;IF((D41-F41)=INT(D41-F41),FIXED(D41-F41,0),FIXED(D41-F41,3))))</f>
        <v>0</v>
      </c>
    </row>
    <row r="42" spans="2:7">
      <c r="B42" s="13">
        <f>IFERROR(INDEX(tblRecetas[Insumo],MATCH(32,tblRecetas[Orden],0)),"")</f>
        <v>0</v>
      </c>
      <c r="C42" s="13">
        <f>IF(B42="","",INDEX(tblRecetas[Cantidad por lote],MATCH(32,tblRecetas[Orden],0)))</f>
        <v>0</v>
      </c>
      <c r="D42" s="13">
        <f>IF(B42="","",C42*N(calcLotes))</f>
        <v>0</v>
      </c>
      <c r="E42" s="13">
        <f>IF(B42="","",IFERROR(INDEX(tblInsumos[Unidad base],MATCH(B42,tblInsumos[Insumo],0)),""))</f>
        <v>0</v>
      </c>
      <c r="F42" s="13">
        <f>IF(B42="","",IFERROR(INDEX(tblInsumos[Stock],MATCH(B42,tblInsumos[Insumo],0)),0))</f>
        <v>0</v>
      </c>
      <c r="G42" s="13">
        <f>IF(B42="","",IF(F42&gt;=D42,"✔ Sí","✖ Faltan "&amp;IF((D42-F42)=INT(D42-F42),FIXED(D42-F42,0),FIXED(D42-F42,3))))</f>
        <v>0</v>
      </c>
    </row>
    <row r="43" spans="2:7">
      <c r="B43" s="13">
        <f>IFERROR(INDEX(tblRecetas[Insumo],MATCH(33,tblRecetas[Orden],0)),"")</f>
        <v>0</v>
      </c>
      <c r="C43" s="13">
        <f>IF(B43="","",INDEX(tblRecetas[Cantidad por lote],MATCH(33,tblRecetas[Orden],0)))</f>
        <v>0</v>
      </c>
      <c r="D43" s="13">
        <f>IF(B43="","",C43*N(calcLotes))</f>
        <v>0</v>
      </c>
      <c r="E43" s="13">
        <f>IF(B43="","",IFERROR(INDEX(tblInsumos[Unidad base],MATCH(B43,tblInsumos[Insumo],0)),""))</f>
        <v>0</v>
      </c>
      <c r="F43" s="13">
        <f>IF(B43="","",IFERROR(INDEX(tblInsumos[Stock],MATCH(B43,tblInsumos[Insumo],0)),0))</f>
        <v>0</v>
      </c>
      <c r="G43" s="13">
        <f>IF(B43="","",IF(F43&gt;=D43,"✔ Sí","✖ Faltan "&amp;IF((D43-F43)=INT(D43-F43),FIXED(D43-F43,0),FIXED(D43-F43,3))))</f>
        <v>0</v>
      </c>
    </row>
    <row r="44" spans="2:7">
      <c r="B44" s="13">
        <f>IFERROR(INDEX(tblRecetas[Insumo],MATCH(34,tblRecetas[Orden],0)),"")</f>
        <v>0</v>
      </c>
      <c r="C44" s="13">
        <f>IF(B44="","",INDEX(tblRecetas[Cantidad por lote],MATCH(34,tblRecetas[Orden],0)))</f>
        <v>0</v>
      </c>
      <c r="D44" s="13">
        <f>IF(B44="","",C44*N(calcLotes))</f>
        <v>0</v>
      </c>
      <c r="E44" s="13">
        <f>IF(B44="","",IFERROR(INDEX(tblInsumos[Unidad base],MATCH(B44,tblInsumos[Insumo],0)),""))</f>
        <v>0</v>
      </c>
      <c r="F44" s="13">
        <f>IF(B44="","",IFERROR(INDEX(tblInsumos[Stock],MATCH(B44,tblInsumos[Insumo],0)),0))</f>
        <v>0</v>
      </c>
      <c r="G44" s="13">
        <f>IF(B44="","",IF(F44&gt;=D44,"✔ Sí","✖ Faltan "&amp;IF((D44-F44)=INT(D44-F44),FIXED(D44-F44,0),FIXED(D44-F44,3))))</f>
        <v>0</v>
      </c>
    </row>
    <row r="45" spans="2:7">
      <c r="B45" s="13">
        <f>IFERROR(INDEX(tblRecetas[Insumo],MATCH(35,tblRecetas[Orden],0)),"")</f>
        <v>0</v>
      </c>
      <c r="C45" s="13">
        <f>IF(B45="","",INDEX(tblRecetas[Cantidad por lote],MATCH(35,tblRecetas[Orden],0)))</f>
        <v>0</v>
      </c>
      <c r="D45" s="13">
        <f>IF(B45="","",C45*N(calcLotes))</f>
        <v>0</v>
      </c>
      <c r="E45" s="13">
        <f>IF(B45="","",IFERROR(INDEX(tblInsumos[Unidad base],MATCH(B45,tblInsumos[Insumo],0)),""))</f>
        <v>0</v>
      </c>
      <c r="F45" s="13">
        <f>IF(B45="","",IFERROR(INDEX(tblInsumos[Stock],MATCH(B45,tblInsumos[Insumo],0)),0))</f>
        <v>0</v>
      </c>
      <c r="G45" s="13">
        <f>IF(B45="","",IF(F45&gt;=D45,"✔ Sí","✖ Faltan "&amp;IF((D45-F45)=INT(D45-F45),FIXED(D45-F45,0),FIXED(D45-F45,3))))</f>
        <v>0</v>
      </c>
    </row>
    <row r="46" spans="2:7">
      <c r="B46" s="13">
        <f>IFERROR(INDEX(tblRecetas[Insumo],MATCH(36,tblRecetas[Orden],0)),"")</f>
        <v>0</v>
      </c>
      <c r="C46" s="13">
        <f>IF(B46="","",INDEX(tblRecetas[Cantidad por lote],MATCH(36,tblRecetas[Orden],0)))</f>
        <v>0</v>
      </c>
      <c r="D46" s="13">
        <f>IF(B46="","",C46*N(calcLotes))</f>
        <v>0</v>
      </c>
      <c r="E46" s="13">
        <f>IF(B46="","",IFERROR(INDEX(tblInsumos[Unidad base],MATCH(B46,tblInsumos[Insumo],0)),""))</f>
        <v>0</v>
      </c>
      <c r="F46" s="13">
        <f>IF(B46="","",IFERROR(INDEX(tblInsumos[Stock],MATCH(B46,tblInsumos[Insumo],0)),0))</f>
        <v>0</v>
      </c>
      <c r="G46" s="13">
        <f>IF(B46="","",IF(F46&gt;=D46,"✔ Sí","✖ Faltan "&amp;IF((D46-F46)=INT(D46-F46),FIXED(D46-F46,0),FIXED(D46-F46,3))))</f>
        <v>0</v>
      </c>
    </row>
    <row r="47" spans="2:7">
      <c r="B47" s="13">
        <f>IFERROR(INDEX(tblRecetas[Insumo],MATCH(37,tblRecetas[Orden],0)),"")</f>
        <v>0</v>
      </c>
      <c r="C47" s="13">
        <f>IF(B47="","",INDEX(tblRecetas[Cantidad por lote],MATCH(37,tblRecetas[Orden],0)))</f>
        <v>0</v>
      </c>
      <c r="D47" s="13">
        <f>IF(B47="","",C47*N(calcLotes))</f>
        <v>0</v>
      </c>
      <c r="E47" s="13">
        <f>IF(B47="","",IFERROR(INDEX(tblInsumos[Unidad base],MATCH(B47,tblInsumos[Insumo],0)),""))</f>
        <v>0</v>
      </c>
      <c r="F47" s="13">
        <f>IF(B47="","",IFERROR(INDEX(tblInsumos[Stock],MATCH(B47,tblInsumos[Insumo],0)),0))</f>
        <v>0</v>
      </c>
      <c r="G47" s="13">
        <f>IF(B47="","",IF(F47&gt;=D47,"✔ Sí","✖ Faltan "&amp;IF((D47-F47)=INT(D47-F47),FIXED(D47-F47,0),FIXED(D47-F47,3))))</f>
        <v>0</v>
      </c>
    </row>
    <row r="48" spans="2:7">
      <c r="B48" s="13">
        <f>IFERROR(INDEX(tblRecetas[Insumo],MATCH(38,tblRecetas[Orden],0)),"")</f>
        <v>0</v>
      </c>
      <c r="C48" s="13">
        <f>IF(B48="","",INDEX(tblRecetas[Cantidad por lote],MATCH(38,tblRecetas[Orden],0)))</f>
        <v>0</v>
      </c>
      <c r="D48" s="13">
        <f>IF(B48="","",C48*N(calcLotes))</f>
        <v>0</v>
      </c>
      <c r="E48" s="13">
        <f>IF(B48="","",IFERROR(INDEX(tblInsumos[Unidad base],MATCH(B48,tblInsumos[Insumo],0)),""))</f>
        <v>0</v>
      </c>
      <c r="F48" s="13">
        <f>IF(B48="","",IFERROR(INDEX(tblInsumos[Stock],MATCH(B48,tblInsumos[Insumo],0)),0))</f>
        <v>0</v>
      </c>
      <c r="G48" s="13">
        <f>IF(B48="","",IF(F48&gt;=D48,"✔ Sí","✖ Faltan "&amp;IF((D48-F48)=INT(D48-F48),FIXED(D48-F48,0),FIXED(D48-F48,3))))</f>
        <v>0</v>
      </c>
    </row>
    <row r="49" spans="2:7">
      <c r="B49" s="13">
        <f>IFERROR(INDEX(tblRecetas[Insumo],MATCH(39,tblRecetas[Orden],0)),"")</f>
        <v>0</v>
      </c>
      <c r="C49" s="13">
        <f>IF(B49="","",INDEX(tblRecetas[Cantidad por lote],MATCH(39,tblRecetas[Orden],0)))</f>
        <v>0</v>
      </c>
      <c r="D49" s="13">
        <f>IF(B49="","",C49*N(calcLotes))</f>
        <v>0</v>
      </c>
      <c r="E49" s="13">
        <f>IF(B49="","",IFERROR(INDEX(tblInsumos[Unidad base],MATCH(B49,tblInsumos[Insumo],0)),""))</f>
        <v>0</v>
      </c>
      <c r="F49" s="13">
        <f>IF(B49="","",IFERROR(INDEX(tblInsumos[Stock],MATCH(B49,tblInsumos[Insumo],0)),0))</f>
        <v>0</v>
      </c>
      <c r="G49" s="13">
        <f>IF(B49="","",IF(F49&gt;=D49,"✔ Sí","✖ Faltan "&amp;IF((D49-F49)=INT(D49-F49),FIXED(D49-F49,0),FIXED(D49-F49,3))))</f>
        <v>0</v>
      </c>
    </row>
    <row r="50" spans="2:7">
      <c r="B50" s="13">
        <f>IFERROR(INDEX(tblRecetas[Insumo],MATCH(40,tblRecetas[Orden],0)),"")</f>
        <v>0</v>
      </c>
      <c r="C50" s="13">
        <f>IF(B50="","",INDEX(tblRecetas[Cantidad por lote],MATCH(40,tblRecetas[Orden],0)))</f>
        <v>0</v>
      </c>
      <c r="D50" s="13">
        <f>IF(B50="","",C50*N(calcLotes))</f>
        <v>0</v>
      </c>
      <c r="E50" s="13">
        <f>IF(B50="","",IFERROR(INDEX(tblInsumos[Unidad base],MATCH(B50,tblInsumos[Insumo],0)),""))</f>
        <v>0</v>
      </c>
      <c r="F50" s="13">
        <f>IF(B50="","",IFERROR(INDEX(tblInsumos[Stock],MATCH(B50,tblInsumos[Insumo],0)),0))</f>
        <v>0</v>
      </c>
      <c r="G50" s="13">
        <f>IF(B50="","",IF(F50&gt;=D50,"✔ Sí","✖ Faltan "&amp;IF((D50-F50)=INT(D50-F50),FIXED(D50-F50,0),FIXED(D50-F50,3))))</f>
        <v>0</v>
      </c>
    </row>
  </sheetData>
  <mergeCells count="1">
    <mergeCell ref="B1:H1"/>
  </mergeCells>
  <conditionalFormatting sqref="G11:G50">
    <cfRule type="beginsWith" dxfId="4" priority="1" operator="beginsWith" text="✖">
      <formula>LEFT(G11,1)="✖"</formula>
    </cfRule>
    <cfRule type="beginsWith" dxfId="5" priority="2" operator="beginsWith" text="✔">
      <formula>LEFT(G11,1)="✔"</formula>
    </cfRule>
  </conditionalFormatting>
  <dataValidations count="1">
    <dataValidation type="list" allowBlank="1" showInputMessage="1" showErrorMessage="1" sqref="C4">
      <formula1>lstProductos</formula1>
    </dataValidation>
  </dataValidations>
  <pageMargins left="0.4" right="0.4" top="0.5" bottom="0.5" header="0.3" footer="0.3"/>
  <pageSetup paperSize="9" fitToHeight="0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Inicio</vt:lpstr>
      <vt:lpstr>Entradas</vt:lpstr>
      <vt:lpstr>Salidas insumos</vt:lpstr>
      <vt:lpstr>Producción</vt:lpstr>
      <vt:lpstr>Salidas productos</vt:lpstr>
      <vt:lpstr>Insumos</vt:lpstr>
      <vt:lpstr>Productos</vt:lpstr>
      <vt:lpstr>Catálogos</vt:lpstr>
      <vt:lpstr>Recetas</vt:lpstr>
      <vt:lpstr>Calculadora</vt:lpstr>
      <vt:lpstr>calcLotes</vt:lpstr>
      <vt:lpstr>calcProducto</vt:lpstr>
      <vt:lpstr>entCantidad</vt:lpstr>
      <vt:lpstr>entFecha</vt:lpstr>
      <vt:lpstr>entInsumo</vt:lpstr>
      <vt:lpstr>entMensaje</vt:lpstr>
      <vt:lpstr>entNumDoc</vt:lpstr>
      <vt:lpstr>entObs</vt:lpstr>
      <vt:lpstr>entPrecioTotal</vt:lpstr>
      <vt:lpstr>entPresentacion</vt:lpstr>
      <vt:lpstr>entProveedor</vt:lpstr>
      <vt:lpstr>entTipoDoc</vt:lpstr>
      <vt:lpstr>proCantPresentacion</vt:lpstr>
      <vt:lpstr>proCantTeorica</vt:lpstr>
      <vt:lpstr>proDefectuoso</vt:lpstr>
      <vt:lpstr>proFecha</vt:lpstr>
      <vt:lpstr>proMensaje</vt:lpstr>
      <vt:lpstr>proObs</vt:lpstr>
      <vt:lpstr>proPresentacion</vt:lpstr>
      <vt:lpstr>proProducido</vt:lpstr>
      <vt:lpstr>proProducto</vt:lpstr>
      <vt:lpstr>proTurno</vt:lpstr>
      <vt:lpstr>proUnidadTeorica</vt:lpstr>
      <vt:lpstr>rngDesde</vt:lpstr>
      <vt:lpstr>rngFecha</vt:lpstr>
      <vt:lpstr>rngHasta</vt:lpstr>
      <vt:lpstr>rngPeriodo</vt:lpstr>
      <vt:lpstr>salCantidad</vt:lpstr>
      <vt:lpstr>salFecha</vt:lpstr>
      <vt:lpstr>salInsumo</vt:lpstr>
      <vt:lpstr>salMensaje</vt:lpstr>
      <vt:lpstr>salMotivo</vt:lpstr>
      <vt:lpstr>salObs</vt:lpstr>
      <vt:lpstr>salPresentacion</vt:lpstr>
      <vt:lpstr>salTicket</vt:lpstr>
      <vt:lpstr>sprCantidad</vt:lpstr>
      <vt:lpstr>sprDestino</vt:lpstr>
      <vt:lpstr>sprDocumento</vt:lpstr>
      <vt:lpstr>sprEncargado</vt:lpstr>
      <vt:lpstr>sprFecha</vt:lpstr>
      <vt:lpstr>sprMensaje</vt:lpstr>
      <vt:lpstr>sprObs</vt:lpstr>
      <vt:lpstr>sprPresentacion</vt:lpstr>
      <vt:lpstr>sprProducto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PanControl</dc:title>
  <dc:subject>Sistema de Producción — versión Excel</dc:subject>
  <dc:creator>PanControl</dc:creator>
  <dc:description>Generado por excel/construir_excel.py</dc:description>
  <cp:lastModifiedBy>PanControl</cp:lastModifiedBy>
  <dcterms:created xsi:type="dcterms:W3CDTF">2026-10-01T00:33:26Z</dcterms:created>
  <dcterms:modified xsi:type="dcterms:W3CDTF">2026-10-01T00:33:26Z</dcterms:modified>
</cp:coreProperties>
</file>